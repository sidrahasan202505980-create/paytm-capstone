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view" sheetId="1" r:id="rId5"/>
    <sheet state="visible" name="merchant_status_summary" sheetId="2" r:id="rId6"/>
    <sheet state="visible" name="merchant_daily_totals" sheetId="3" r:id="rId7"/>
    <sheet state="visible" name="merchant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<sst xmlns="http://schemas.openxmlformats.org/spreadsheetml/2006/main" count="1968" uniqueCount="666">
  <si>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</si>
  <si>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</si>
  <si>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</si>
  <si>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</si>
  <si>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</si>
  <si>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</si>
  <si>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</si>
  <si>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</si>
  <si>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merchant_name</t>
  </si>
  <si>
    <t>category</t>
  </si>
  <si>
    <t>region</t>
  </si>
  <si>
    <t>Fee Tier (MDR %)</t>
  </si>
  <si>
    <t>UPI</t>
  </si>
  <si>
    <t>Wallet</t>
  </si>
  <si>
    <t>Card</t>
  </si>
  <si>
    <t>Netbanking</t>
  </si>
  <si>
    <t>mdr_fee_pct</t>
  </si>
  <si>
    <t>txn_date</t>
  </si>
  <si>
    <t>merchant_day_total</t>
  </si>
  <si>
    <t>merchant_day_classification</t>
  </si>
  <si>
    <t>total_txn_count</t>
  </si>
  <si>
    <t>unique_days_count</t>
  </si>
  <si>
    <t>TXN100000</t>
  </si>
  <si>
    <t>captured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</si>
  <si>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</si>
  <si>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</si>
  <si>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</si>
  <si>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</si>
  <si>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</si>
  <si>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</si>
  <si>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</si>
  <si>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</si>
  <si>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</si>
  <si>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</si>
  <si>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</si>
  <si>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</si>
  <si>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</si>
  <si>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</si>
  <si>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</si>
  <si>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</si>
  <si>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</si>
  <si>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</si>
  <si>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</si>
  <si>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</si>
  <si>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</si>
  <si>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</si>
  <si>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</si>
  <si>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</si>
  <si>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</si>
  <si>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</si>
  <si>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</si>
  <si>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</si>
  <si>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</si>
  <si>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</si>
  <si>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</si>
  <si>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</si>
  <si>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SUM of amount_inr</t>
  </si>
  <si>
    <t>Merchant_023</t>
  </si>
  <si>
    <t>COUNTA of transaction_id</t>
  </si>
  <si>
    <t>Merchant_024</t>
  </si>
  <si>
    <t>Merchant_025</t>
  </si>
  <si>
    <t>failed</t>
  </si>
  <si>
    <t>Merchant_026</t>
  </si>
  <si>
    <t>1 Total</t>
  </si>
  <si>
    <t>Merchant_027</t>
  </si>
  <si>
    <t>Merchant_028</t>
  </si>
  <si>
    <t>2 Total</t>
  </si>
  <si>
    <t>Merchant_029</t>
  </si>
  <si>
    <t>Merchant_030</t>
  </si>
  <si>
    <t>chargeback</t>
  </si>
  <si>
    <t>Merchant_031</t>
  </si>
  <si>
    <t>TXN100001</t>
  </si>
  <si>
    <t>Merchant_032</t>
  </si>
  <si>
    <t>Merchant_033</t>
  </si>
  <si>
    <t>Merchant_034</t>
  </si>
  <si>
    <t>3 Total</t>
  </si>
  <si>
    <t>Merchant_035</t>
  </si>
  <si>
    <t>Merchant_036</t>
  </si>
  <si>
    <t>entertainment</t>
  </si>
  <si>
    <t>Merchant_037</t>
  </si>
  <si>
    <t>4 Total</t>
  </si>
  <si>
    <t>Merchant_038</t>
  </si>
  <si>
    <t>Merchant_039</t>
  </si>
  <si>
    <t>Merchant_040</t>
  </si>
  <si>
    <t>5 Total</t>
  </si>
  <si>
    <t>6 Total</t>
  </si>
  <si>
    <t>7 Total</t>
  </si>
  <si>
    <t>TXN100002</t>
  </si>
  <si>
    <t>8 Total</t>
  </si>
  <si>
    <t>9 Total</t>
  </si>
  <si>
    <t>10 Total</t>
  </si>
  <si>
    <t>11 Total</t>
  </si>
  <si>
    <t>TXN100003</t>
  </si>
  <si>
    <t>12 Total</t>
  </si>
  <si>
    <t>13 Total</t>
  </si>
  <si>
    <t>14 Total</t>
  </si>
  <si>
    <t>15 Total</t>
  </si>
  <si>
    <t>TXN100004</t>
  </si>
  <si>
    <t>16 Total</t>
  </si>
  <si>
    <t>17 Total</t>
  </si>
  <si>
    <t>18 Total</t>
  </si>
  <si>
    <t>19 Total</t>
  </si>
  <si>
    <t>20 Total</t>
  </si>
  <si>
    <t>TXN100005</t>
  </si>
  <si>
    <t>21 Total</t>
  </si>
  <si>
    <t>22 Total</t>
  </si>
  <si>
    <t>23 Total</t>
  </si>
  <si>
    <t>24 Total</t>
  </si>
  <si>
    <t>TXN100006</t>
  </si>
  <si>
    <t>25 Total</t>
  </si>
  <si>
    <t>26 Total</t>
  </si>
  <si>
    <t>27 Total</t>
  </si>
  <si>
    <t>TXN100007</t>
  </si>
  <si>
    <t>28 Total</t>
  </si>
  <si>
    <t>29 Total</t>
  </si>
  <si>
    <t>30 Total</t>
  </si>
  <si>
    <t>31 Total</t>
  </si>
  <si>
    <t>TXN100008</t>
  </si>
  <si>
    <t>32 Total</t>
  </si>
  <si>
    <t>33 Total</t>
  </si>
  <si>
    <t>34 Total</t>
  </si>
  <si>
    <t>35 Total</t>
  </si>
  <si>
    <t>TXN100009</t>
  </si>
  <si>
    <t>36 Total</t>
  </si>
  <si>
    <t>37 Total</t>
  </si>
  <si>
    <t>38 Total</t>
  </si>
  <si>
    <t>39 Total</t>
  </si>
  <si>
    <t>TXN100010</t>
  </si>
  <si>
    <t>40 Total</t>
  </si>
  <si>
    <t>Grand Total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</si>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</sst>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548" sheet="transactions_view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Fee Tier (MDR %)" numFmtId="0">
      <sharedItems containsString="0" containsBlank="1">
        <m/>
      </sharedItems>
    </cacheField>
    <cacheField name="UPI" numFmtId="0">
      <sharedItems containsString="0" containsBlank="1" containsNumber="1">
        <n v="0.3"/>
        <m/>
      </sharedItems>
    </cacheField>
    <cacheField name="Wallet" numFmtId="0">
      <sharedItems containsString="0" containsBlank="1" containsNumber="1">
        <n v="0.5"/>
        <m/>
      </sharedItems>
    </cacheField>
    <cacheField name="Card" numFmtId="0">
      <sharedItems containsString="0" containsBlank="1" containsNumber="1">
        <n v="1.5"/>
        <m/>
      </sharedItems>
    </cacheField>
    <cacheField name="Netbanking" numFmtId="0">
      <sharedItems containsString="0" containsBlank="1" containsNumber="1">
        <n v="0.9"/>
        <m/>
      </sharedItems>
    </cacheField>
    <cacheField name="mdr_fee_pct" numFmtId="0">
      <sharedItems containsSemiMixedTypes="0" containsString="0" containsNumber="1">
        <n v="0.5"/>
        <n v="0.3"/>
        <n v="0.9"/>
        <n v="1.5"/>
      </sharedItems>
    </cacheField>
    <cacheField name="txn_date" numFmtId="14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merchant_day_total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merchant_day_classification" numFmtId="0">
      <sharedItems>
        <s v="Normal"/>
        <s v="High-Value Merchant 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48" sheet="transactions_view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Fee Tier (MDR %)" numFmtId="0">
      <sharedItems containsString="0" containsBlank="1">
        <m/>
      </sharedItems>
    </cacheField>
    <cacheField name="UPI" numFmtId="0">
      <sharedItems containsString="0" containsBlank="1" containsNumber="1">
        <n v="0.3"/>
        <m/>
      </sharedItems>
    </cacheField>
    <cacheField name="Wallet" numFmtId="0">
      <sharedItems containsString="0" containsBlank="1" containsNumber="1">
        <n v="0.5"/>
        <m/>
      </sharedItems>
    </cacheField>
    <cacheField name="Card" numFmtId="0">
      <sharedItems containsString="0" containsBlank="1" containsNumber="1">
        <n v="1.5"/>
        <m/>
      </sharedItems>
    </cacheField>
    <cacheField name="Netbanking" numFmtId="0">
      <sharedItems containsString="0" containsBlank="1" containsNumber="1">
        <n v="0.9"/>
        <m/>
      </sharedItems>
    </cacheField>
    <cacheField name="mdr_fee_pct" numFmtId="0">
      <sharedItems containsSemiMixedTypes="0" containsString="0" containsNumber="1">
        <n v="0.5"/>
        <n v="0.3"/>
        <n v="0.9"/>
        <n v="1.5"/>
      </sharedItems>
    </cacheField>
    <cacheField name="txn_date" numFmtId="14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erchant_status_summary" cacheId="0" dataCaption="" compact="0" compactData="0">
  <location ref="A1:D133" firstHeaderRow="0" firstDataRow="3" firstDataCol="0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Fee Tier (MDR %)" compact="0" outline="0" multipleItemSelectionAllowed="1" showAll="0">
      <items>
        <item x="0"/>
        <item t="default"/>
      </items>
    </pivotField>
    <pivotField name="UPI" compact="0" outline="0" multipleItemSelectionAllowed="1" showAll="0">
      <items>
        <item x="0"/>
        <item x="1"/>
        <item t="default"/>
      </items>
    </pivotField>
    <pivotField name="Wallet" compact="0" outline="0" multipleItemSelectionAllowed="1" showAll="0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t="default"/>
      </items>
    </pivotField>
    <pivotField name="Netbanking" compact="0" outline="0" multipleItemSelectionAllowed="1" showAll="0">
      <items>
        <item x="0"/>
        <item x="1"/>
        <item t="default"/>
      </items>
    </pivotField>
    <pivotField name="mdr_fee_pct" compact="0" outline="0" multipleItemSelectionAllowed="1" showAll="0">
      <items>
        <item x="0"/>
        <item x="1"/>
        <item x="2"/>
        <item x="3"/>
        <item t="default"/>
      </items>
    </pivotField>
    <pivotField name="txn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_day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merchant_day_classification" compact="0" outline="0" multipleItemSelectionAllowed="1" showAll="0">
      <items>
        <item x="0"/>
        <item x="1"/>
        <item t="default"/>
      </items>
    </pivotField>
  </pivotFields>
  <rowFields>
    <field x="2"/>
    <field x="6"/>
  </rowFields>
  <colFields>
    <field x="-2"/>
  </colFields>
  <dataFields>
    <dataField name="SUM of amount_inr" fld="4" baseField="0"/>
    <dataField name="COUNTA of transaction_id" fld="0" subtotal="count" baseField="0"/>
  </dataFields>
</pivotTableDefinition>
</file>

<file path=xl/pivotTables/pivotTable2.xml><?xml version="1.0" encoding="utf-8"?>
<pivotTableDefinition xmlns="http://schemas.openxmlformats.org/spreadsheetml/2006/main" name="merchant_daily_totals" cacheId="1" dataCaption="" compact="0" compactData="0">
  <location ref="A1:C485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Fee Tier (MDR %)" compact="0" outline="0" multipleItemSelectionAllowed="1" showAll="0">
      <items>
        <item x="0"/>
        <item t="default"/>
      </items>
    </pivotField>
    <pivotField name="UPI" compact="0" outline="0" multipleItemSelectionAllowed="1" showAll="0">
      <items>
        <item x="0"/>
        <item x="1"/>
        <item t="default"/>
      </items>
    </pivotField>
    <pivotField name="Wallet" compact="0" outline="0" multipleItemSelectionAllowed="1" showAll="0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t="default"/>
      </items>
    </pivotField>
    <pivotField name="Netbanking" compact="0" outline="0" multipleItemSelectionAllowed="1" showAll="0">
      <items>
        <item x="0"/>
        <item x="1"/>
        <item t="default"/>
      </items>
    </pivotField>
    <pivotField name="mdr_fee_pct" compact="0" outline="0" multipleItemSelectionAllowed="1" showAll="0">
      <items>
        <item x="0"/>
        <item x="1"/>
        <item x="2"/>
        <item x="3"/>
        <item t="default"/>
      </items>
    </pivotField>
    <pivotField name="txn_date" axis="axisRow" compact="0" numFmtId="14" outline="0" multipleItemSelectionAllowed="1" showAll="0" sortType="ascending">
      <items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</pivotFields>
  <rowFields>
    <field x="2"/>
    <field x="17"/>
  </rowFields>
  <dataFields>
    <dataField name="SUM of amount_inr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19.38"/>
    <col customWidth="1" min="19" max="19" width="16.75"/>
    <col customWidth="1" min="20" max="20" width="23.75"/>
    <col customWidth="1" min="23" max="23" width="13.38"/>
    <col customWidth="1" min="24" max="2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1" t="s">
        <v>2</v>
      </c>
      <c r="W1" s="1" t="s">
        <v>20</v>
      </c>
      <c r="X1" s="1" t="s">
        <v>21</v>
      </c>
      <c r="Y1" s="3"/>
      <c r="Z1" s="3"/>
    </row>
    <row r="2">
      <c r="A2" s="2" t="s">
        <v>22</v>
      </c>
      <c r="B2" s="2">
        <v>350.0</v>
      </c>
      <c r="C2" s="2">
        <v>16.0</v>
      </c>
      <c r="D2" s="4">
        <v>46051.467361111114</v>
      </c>
      <c r="E2" s="2">
        <v>2999.0</v>
      </c>
      <c r="F2" s="2" t="s">
        <v>13</v>
      </c>
      <c r="G2" s="2" t="s">
        <v>23</v>
      </c>
      <c r="H2" s="2">
        <v>85.0</v>
      </c>
      <c r="I2" s="5" t="str">
        <f>IFERROR(VLOOKUP($C2, merchants!$A$2:$D$41, 2, FALSE), "Merchant not found")</f>
        <v>Merchant_016</v>
      </c>
      <c r="J2" s="5" t="str">
        <f>IFERROR(VLOOKUP($C2, merchants!$A$2:$D$41, 3, FALSE), "Merchant not found")</f>
        <v>bill_payment</v>
      </c>
      <c r="K2" s="5" t="str">
        <f>IFERROR(VLOOKUP($C2, merchants!$A$2:$D$41, 4, FALSE), "Merchant not found")</f>
        <v>West</v>
      </c>
      <c r="M2" s="2">
        <v>0.3</v>
      </c>
      <c r="N2" s="2">
        <v>0.5</v>
      </c>
      <c r="O2" s="2">
        <v>1.5</v>
      </c>
      <c r="P2" s="2">
        <v>0.9</v>
      </c>
      <c r="Q2" s="5">
        <f t="shared" ref="Q2:Q548" si="1">HLOOKUP(F2, $M$1:$P$2, 2, FALSE)</f>
        <v>0.5</v>
      </c>
      <c r="R2" s="6">
        <f t="shared" ref="R2:R548" si="2">DATE(YEAR(D2), MONTH(D2), DAY(D2))</f>
        <v>46051</v>
      </c>
      <c r="S2" s="5">
        <f t="shared" ref="S2:S548" si="3">SUMIFS($E$2:$E$548, $C$2:$C$548, C2, $R$2:$R$548, R2)</f>
        <v>2999</v>
      </c>
      <c r="T2" s="5" t="str">
        <f t="shared" ref="T2:T548" si="4">IF(AND(S2&gt;5000, K2&lt;&gt;"East"), "High-Value Merchant Day", "Normal")</f>
        <v>Normal</v>
      </c>
      <c r="V2" s="2">
        <v>1.0</v>
      </c>
      <c r="W2" s="5">
        <f t="shared" ref="W2:W6" si="5">COUNTIF($C$2:$C$548, V2)</f>
        <v>9</v>
      </c>
      <c r="X2" s="5">
        <f t="shared" ref="X2:X6" si="6">SUMPRODUCT((($C$2:$C$548=V2))/COUNTIFS($C$2:$C$548,$C$2:$C$548,$R$2:$R$548,$R$2:$R$548))</f>
        <v>7</v>
      </c>
    </row>
    <row r="3">
      <c r="A3" s="2" t="s">
        <v>71</v>
      </c>
      <c r="B3" s="2">
        <v>287.0</v>
      </c>
      <c r="C3" s="2">
        <v>27.0</v>
      </c>
      <c r="D3" s="4">
        <v>46026.49236111111</v>
      </c>
      <c r="E3" s="2">
        <v>49.0</v>
      </c>
      <c r="F3" s="2" t="s">
        <v>12</v>
      </c>
      <c r="G3" s="2" t="s">
        <v>23</v>
      </c>
      <c r="H3" s="2">
        <v>79.0</v>
      </c>
      <c r="I3" s="5" t="str">
        <f>IFERROR(VLOOKUP($C3, merchants!$A$2:$D$41, 2, FALSE), "Merchant not found")</f>
        <v>Merchant_027</v>
      </c>
      <c r="J3" s="5" t="str">
        <f>IFERROR(VLOOKUP($C3, merchants!$A$2:$D$41, 3, FALSE), "Merchant not found")</f>
        <v>ecommerce</v>
      </c>
      <c r="K3" s="5" t="str">
        <f>IFERROR(VLOOKUP($C3, merchants!$A$2:$D$41, 4, FALSE), "Merchant not found")</f>
        <v>North</v>
      </c>
      <c r="Q3" s="5">
        <f t="shared" si="1"/>
        <v>0.3</v>
      </c>
      <c r="R3" s="6">
        <f t="shared" si="2"/>
        <v>46026</v>
      </c>
      <c r="S3" s="5">
        <f t="shared" si="3"/>
        <v>49</v>
      </c>
      <c r="T3" s="5" t="str">
        <f t="shared" si="4"/>
        <v>Normal</v>
      </c>
      <c r="V3" s="2">
        <v>2.0</v>
      </c>
      <c r="W3" s="5">
        <f t="shared" si="5"/>
        <v>10</v>
      </c>
      <c r="X3" s="5">
        <f t="shared" si="6"/>
        <v>9</v>
      </c>
    </row>
    <row r="4">
      <c r="A4" s="2" t="s">
        <v>87</v>
      </c>
      <c r="B4" s="2">
        <v>122.0</v>
      </c>
      <c r="C4" s="2">
        <v>11.0</v>
      </c>
      <c r="D4" s="4">
        <v>46046.20763888889</v>
      </c>
      <c r="E4" s="2">
        <v>1499.0</v>
      </c>
      <c r="F4" s="2" t="s">
        <v>13</v>
      </c>
      <c r="G4" s="2" t="s">
        <v>23</v>
      </c>
      <c r="H4" s="2">
        <v>22.0</v>
      </c>
      <c r="I4" s="5" t="str">
        <f>IFERROR(VLOOKUP($C4, merchants!$A$2:$D$41, 2, FALSE), "Merchant not found")</f>
        <v>Merchant_011</v>
      </c>
      <c r="J4" s="5" t="str">
        <f>IFERROR(VLOOKUP($C4, merchants!$A$2:$D$41, 3, FALSE), "Merchant not found")</f>
        <v>ecommerce</v>
      </c>
      <c r="K4" s="5" t="str">
        <f>IFERROR(VLOOKUP($C4, merchants!$A$2:$D$41, 4, FALSE), "Merchant not found")</f>
        <v>North</v>
      </c>
      <c r="Q4" s="5">
        <f t="shared" si="1"/>
        <v>0.5</v>
      </c>
      <c r="R4" s="6">
        <f t="shared" si="2"/>
        <v>46046</v>
      </c>
      <c r="S4" s="5">
        <f t="shared" si="3"/>
        <v>1798</v>
      </c>
      <c r="T4" s="5" t="str">
        <f t="shared" si="4"/>
        <v>Normal</v>
      </c>
      <c r="V4" s="2">
        <v>3.0</v>
      </c>
      <c r="W4" s="5">
        <f t="shared" si="5"/>
        <v>17</v>
      </c>
      <c r="X4" s="5">
        <f t="shared" si="6"/>
        <v>13</v>
      </c>
    </row>
    <row r="5">
      <c r="A5" s="2" t="s">
        <v>92</v>
      </c>
      <c r="B5" s="2">
        <v>92.0</v>
      </c>
      <c r="C5" s="2">
        <v>22.0</v>
      </c>
      <c r="D5" s="4">
        <v>46051.54236111111</v>
      </c>
      <c r="E5" s="2">
        <v>49.0</v>
      </c>
      <c r="F5" s="2" t="s">
        <v>15</v>
      </c>
      <c r="G5" s="2" t="s">
        <v>23</v>
      </c>
      <c r="H5" s="2">
        <v>100.0</v>
      </c>
      <c r="I5" s="5" t="str">
        <f>IFERROR(VLOOKUP($C5, merchants!$A$2:$D$41, 2, FALSE), "Merchant not found")</f>
        <v>Merchant_022</v>
      </c>
      <c r="J5" s="5" t="str">
        <f>IFERROR(VLOOKUP($C5, merchants!$A$2:$D$41, 3, FALSE), "Merchant not found")</f>
        <v>travel</v>
      </c>
      <c r="K5" s="5" t="str">
        <f>IFERROR(VLOOKUP($C5, merchants!$A$2:$D$41, 4, FALSE), "Merchant not found")</f>
        <v>South</v>
      </c>
      <c r="Q5" s="5">
        <f t="shared" si="1"/>
        <v>0.9</v>
      </c>
      <c r="R5" s="6">
        <f t="shared" si="2"/>
        <v>46051</v>
      </c>
      <c r="S5" s="5">
        <f t="shared" si="3"/>
        <v>49</v>
      </c>
      <c r="T5" s="5" t="str">
        <f t="shared" si="4"/>
        <v>Normal</v>
      </c>
      <c r="V5" s="2">
        <v>4.0</v>
      </c>
      <c r="W5" s="5">
        <f t="shared" si="5"/>
        <v>9</v>
      </c>
      <c r="X5" s="5">
        <f t="shared" si="6"/>
        <v>7</v>
      </c>
    </row>
    <row r="6">
      <c r="A6" s="2" t="s">
        <v>97</v>
      </c>
      <c r="B6" s="2">
        <v>343.0</v>
      </c>
      <c r="C6" s="2">
        <v>16.0</v>
      </c>
      <c r="D6" s="4">
        <v>46052.57708333333</v>
      </c>
      <c r="E6" s="2">
        <v>99.0</v>
      </c>
      <c r="F6" s="2" t="s">
        <v>12</v>
      </c>
      <c r="G6" s="2" t="s">
        <v>23</v>
      </c>
      <c r="H6" s="2">
        <v>34.0</v>
      </c>
      <c r="I6" s="5" t="str">
        <f>IFERROR(VLOOKUP($C6, merchants!$A$2:$D$41, 2, FALSE), "Merchant not found")</f>
        <v>Merchant_016</v>
      </c>
      <c r="J6" s="5" t="str">
        <f>IFERROR(VLOOKUP($C6, merchants!$A$2:$D$41, 3, FALSE), "Merchant not found")</f>
        <v>bill_payment</v>
      </c>
      <c r="K6" s="5" t="str">
        <f>IFERROR(VLOOKUP($C6, merchants!$A$2:$D$41, 4, FALSE), "Merchant not found")</f>
        <v>West</v>
      </c>
      <c r="Q6" s="5">
        <f t="shared" si="1"/>
        <v>0.3</v>
      </c>
      <c r="R6" s="6">
        <f t="shared" si="2"/>
        <v>46052</v>
      </c>
      <c r="S6" s="5">
        <f t="shared" si="3"/>
        <v>898</v>
      </c>
      <c r="T6" s="5" t="str">
        <f t="shared" si="4"/>
        <v>Normal</v>
      </c>
      <c r="V6" s="2">
        <v>5.0</v>
      </c>
      <c r="W6" s="5">
        <f t="shared" si="5"/>
        <v>11</v>
      </c>
      <c r="X6" s="5">
        <f t="shared" si="6"/>
        <v>9</v>
      </c>
    </row>
    <row r="7">
      <c r="A7" s="2" t="s">
        <v>103</v>
      </c>
      <c r="B7" s="2">
        <v>196.0</v>
      </c>
      <c r="C7" s="2">
        <v>3.0</v>
      </c>
      <c r="D7" s="4">
        <v>46028.92083333333</v>
      </c>
      <c r="E7" s="2">
        <v>99.0</v>
      </c>
      <c r="F7" s="2" t="s">
        <v>12</v>
      </c>
      <c r="G7" s="2" t="s">
        <v>23</v>
      </c>
      <c r="H7" s="2">
        <v>60.0</v>
      </c>
      <c r="I7" s="5" t="str">
        <f>IFERROR(VLOOKUP($C7, merchants!$A$2:$D$41, 2, FALSE), "Merchant not found")</f>
        <v>Merchant_003</v>
      </c>
      <c r="J7" s="5" t="str">
        <f>IFERROR(VLOOKUP($C7, merchants!$A$2:$D$41, 3, FALSE), "Merchant not found")</f>
        <v>grocery</v>
      </c>
      <c r="K7" s="5" t="str">
        <f>IFERROR(VLOOKUP($C7, merchants!$A$2:$D$41, 4, FALSE), "Merchant not found")</f>
        <v>East</v>
      </c>
      <c r="Q7" s="5">
        <f t="shared" si="1"/>
        <v>0.3</v>
      </c>
      <c r="R7" s="6">
        <f t="shared" si="2"/>
        <v>46028</v>
      </c>
      <c r="S7" s="5">
        <f t="shared" si="3"/>
        <v>898</v>
      </c>
      <c r="T7" s="5" t="str">
        <f t="shared" si="4"/>
        <v>Normal</v>
      </c>
    </row>
    <row r="8">
      <c r="A8" s="2" t="s">
        <v>108</v>
      </c>
      <c r="B8" s="2">
        <v>236.0</v>
      </c>
      <c r="C8" s="2">
        <v>23.0</v>
      </c>
      <c r="D8" s="4">
        <v>46030.28611111111</v>
      </c>
      <c r="E8" s="2">
        <v>99.0</v>
      </c>
      <c r="F8" s="2" t="s">
        <v>13</v>
      </c>
      <c r="G8" s="2" t="s">
        <v>23</v>
      </c>
      <c r="H8" s="2">
        <v>39.0</v>
      </c>
      <c r="I8" s="5" t="str">
        <f>IFERROR(VLOOKUP($C8, merchants!$A$2:$D$41, 2, FALSE), "Merchant not found")</f>
        <v>Merchant_023</v>
      </c>
      <c r="J8" s="5" t="str">
        <f>IFERROR(VLOOKUP($C8, merchants!$A$2:$D$41, 3, FALSE), "Merchant not found")</f>
        <v>travel</v>
      </c>
      <c r="K8" s="5" t="str">
        <f>IFERROR(VLOOKUP($C8, merchants!$A$2:$D$41, 4, FALSE), "Merchant not found")</f>
        <v>North</v>
      </c>
      <c r="Q8" s="5">
        <f t="shared" si="1"/>
        <v>0.5</v>
      </c>
      <c r="R8" s="6">
        <f t="shared" si="2"/>
        <v>46030</v>
      </c>
      <c r="S8" s="5">
        <f t="shared" si="3"/>
        <v>99</v>
      </c>
      <c r="T8" s="5" t="str">
        <f t="shared" si="4"/>
        <v>Normal</v>
      </c>
    </row>
    <row r="9">
      <c r="A9" s="2" t="s">
        <v>112</v>
      </c>
      <c r="B9" s="2">
        <v>13.0</v>
      </c>
      <c r="C9" s="2">
        <v>13.0</v>
      </c>
      <c r="D9" s="4">
        <v>46049.30138888889</v>
      </c>
      <c r="E9" s="2">
        <v>99.0</v>
      </c>
      <c r="F9" s="2" t="s">
        <v>12</v>
      </c>
      <c r="G9" s="2" t="s">
        <v>23</v>
      </c>
      <c r="H9" s="2">
        <v>51.0</v>
      </c>
      <c r="I9" s="5" t="str">
        <f>IFERROR(VLOOKUP($C9, merchants!$A$2:$D$41, 2, FALSE), "Merchant not found")</f>
        <v>Merchant_013</v>
      </c>
      <c r="J9" s="5" t="str">
        <f>IFERROR(VLOOKUP($C9, merchants!$A$2:$D$41, 3, FALSE), "Merchant not found")</f>
        <v>travel</v>
      </c>
      <c r="K9" s="5" t="str">
        <f>IFERROR(VLOOKUP($C9, merchants!$A$2:$D$41, 4, FALSE), "Merchant not found")</f>
        <v>East</v>
      </c>
      <c r="Q9" s="5">
        <f t="shared" si="1"/>
        <v>0.3</v>
      </c>
      <c r="R9" s="6">
        <f t="shared" si="2"/>
        <v>46049</v>
      </c>
      <c r="S9" s="5">
        <f t="shared" si="3"/>
        <v>99</v>
      </c>
      <c r="T9" s="5" t="str">
        <f t="shared" si="4"/>
        <v>Normal</v>
      </c>
    </row>
    <row r="10">
      <c r="A10" s="2" t="s">
        <v>117</v>
      </c>
      <c r="B10" s="2">
        <v>36.0</v>
      </c>
      <c r="C10" s="2">
        <v>18.0</v>
      </c>
      <c r="D10" s="4">
        <v>46033.37152777778</v>
      </c>
      <c r="E10" s="2">
        <v>799.0</v>
      </c>
      <c r="F10" s="2" t="s">
        <v>12</v>
      </c>
      <c r="G10" s="2" t="s">
        <v>23</v>
      </c>
      <c r="H10" s="2">
        <v>44.0</v>
      </c>
      <c r="I10" s="5" t="str">
        <f>IFERROR(VLOOKUP($C10, merchants!$A$2:$D$41, 2, FALSE), "Merchant not found")</f>
        <v>Merchant_018</v>
      </c>
      <c r="J10" s="5" t="str">
        <f>IFERROR(VLOOKUP($C10, merchants!$A$2:$D$41, 3, FALSE), "Merchant not found")</f>
        <v>grocery</v>
      </c>
      <c r="K10" s="5" t="str">
        <f>IFERROR(VLOOKUP($C10, merchants!$A$2:$D$41, 4, FALSE), "Merchant not found")</f>
        <v>West</v>
      </c>
      <c r="Q10" s="5">
        <f t="shared" si="1"/>
        <v>0.3</v>
      </c>
      <c r="R10" s="6">
        <f t="shared" si="2"/>
        <v>46033</v>
      </c>
      <c r="S10" s="5">
        <f t="shared" si="3"/>
        <v>799</v>
      </c>
      <c r="T10" s="5" t="str">
        <f t="shared" si="4"/>
        <v>Normal</v>
      </c>
    </row>
    <row r="11">
      <c r="A11" s="2" t="s">
        <v>122</v>
      </c>
      <c r="B11" s="2">
        <v>348.0</v>
      </c>
      <c r="C11" s="2">
        <v>35.0</v>
      </c>
      <c r="D11" s="4">
        <v>46043.68402777778</v>
      </c>
      <c r="E11" s="2">
        <v>299.0</v>
      </c>
      <c r="F11" s="2" t="s">
        <v>12</v>
      </c>
      <c r="G11" s="2" t="s">
        <v>23</v>
      </c>
      <c r="H11" s="2">
        <v>42.0</v>
      </c>
      <c r="I11" s="5" t="str">
        <f>IFERROR(VLOOKUP($C11, merchants!$A$2:$D$41, 2, FALSE), "Merchant not found")</f>
        <v>Merchant_035</v>
      </c>
      <c r="J11" s="5" t="str">
        <f>IFERROR(VLOOKUP($C11, merchants!$A$2:$D$41, 3, FALSE), "Merchant not found")</f>
        <v>recharge</v>
      </c>
      <c r="K11" s="5" t="str">
        <f>IFERROR(VLOOKUP($C11, merchants!$A$2:$D$41, 4, FALSE), "Merchant not found")</f>
        <v>East</v>
      </c>
      <c r="Q11" s="5">
        <f t="shared" si="1"/>
        <v>0.3</v>
      </c>
      <c r="R11" s="6">
        <f t="shared" si="2"/>
        <v>46043</v>
      </c>
      <c r="S11" s="5">
        <f t="shared" si="3"/>
        <v>299</v>
      </c>
      <c r="T11" s="5" t="str">
        <f t="shared" si="4"/>
        <v>Normal</v>
      </c>
    </row>
    <row r="12">
      <c r="A12" s="2" t="s">
        <v>127</v>
      </c>
      <c r="B12" s="2">
        <v>134.0</v>
      </c>
      <c r="C12" s="2">
        <v>12.0</v>
      </c>
      <c r="D12" s="4">
        <v>46023.16388888889</v>
      </c>
      <c r="E12" s="2">
        <v>49.0</v>
      </c>
      <c r="F12" s="2" t="s">
        <v>12</v>
      </c>
      <c r="G12" s="2" t="s">
        <v>23</v>
      </c>
      <c r="H12" s="2">
        <v>74.0</v>
      </c>
      <c r="I12" s="5" t="str">
        <f>IFERROR(VLOOKUP($C12, merchants!$A$2:$D$41, 2, FALSE), "Merchant not found")</f>
        <v>Merchant_012</v>
      </c>
      <c r="J12" s="5" t="str">
        <f>IFERROR(VLOOKUP($C12, merchants!$A$2:$D$41, 3, FALSE), "Merchant not found")</f>
        <v>ecommerce</v>
      </c>
      <c r="K12" s="5" t="str">
        <f>IFERROR(VLOOKUP($C12, merchants!$A$2:$D$41, 4, FALSE), "Merchant not found")</f>
        <v>East</v>
      </c>
      <c r="Q12" s="5">
        <f t="shared" si="1"/>
        <v>0.3</v>
      </c>
      <c r="R12" s="6">
        <f t="shared" si="2"/>
        <v>46023</v>
      </c>
      <c r="S12" s="5">
        <f t="shared" si="3"/>
        <v>548</v>
      </c>
      <c r="T12" s="5" t="str">
        <f t="shared" si="4"/>
        <v>Normal</v>
      </c>
    </row>
    <row r="13">
      <c r="A13" s="2" t="s">
        <v>130</v>
      </c>
      <c r="B13" s="2">
        <v>306.0</v>
      </c>
      <c r="C13" s="2">
        <v>28.0</v>
      </c>
      <c r="D13" s="4">
        <v>46031.04583333333</v>
      </c>
      <c r="E13" s="2">
        <v>2999.0</v>
      </c>
      <c r="F13" s="2" t="s">
        <v>14</v>
      </c>
      <c r="G13" s="2" t="s">
        <v>61</v>
      </c>
      <c r="H13" s="2">
        <v>44.0</v>
      </c>
      <c r="I13" s="5" t="str">
        <f>IFERROR(VLOOKUP($C13, merchants!$A$2:$D$41, 2, FALSE), "Merchant not found")</f>
        <v>Merchant_028</v>
      </c>
      <c r="J13" s="5" t="str">
        <f>IFERROR(VLOOKUP($C13, merchants!$A$2:$D$41, 3, FALSE), "Merchant not found")</f>
        <v>ecommerce</v>
      </c>
      <c r="K13" s="5" t="str">
        <f>IFERROR(VLOOKUP($C13, merchants!$A$2:$D$41, 4, FALSE), "Merchant not found")</f>
        <v>South</v>
      </c>
      <c r="Q13" s="5">
        <f t="shared" si="1"/>
        <v>1.5</v>
      </c>
      <c r="R13" s="6">
        <f t="shared" si="2"/>
        <v>46031</v>
      </c>
      <c r="S13" s="5">
        <f t="shared" si="3"/>
        <v>2999</v>
      </c>
      <c r="T13" s="5" t="str">
        <f t="shared" si="4"/>
        <v>Normal</v>
      </c>
    </row>
    <row r="14">
      <c r="A14" s="2" t="s">
        <v>131</v>
      </c>
      <c r="B14" s="2">
        <v>311.0</v>
      </c>
      <c r="C14" s="2">
        <v>33.0</v>
      </c>
      <c r="D14" s="4">
        <v>46046.43541666667</v>
      </c>
      <c r="E14" s="2">
        <v>49.0</v>
      </c>
      <c r="F14" s="2" t="s">
        <v>13</v>
      </c>
      <c r="G14" s="2" t="s">
        <v>23</v>
      </c>
      <c r="H14" s="2">
        <v>14.0</v>
      </c>
      <c r="I14" s="5" t="str">
        <f>IFERROR(VLOOKUP($C14, merchants!$A$2:$D$41, 2, FALSE), "Merchant not found")</f>
        <v>Merchant_033</v>
      </c>
      <c r="J14" s="5" t="str">
        <f>IFERROR(VLOOKUP($C14, merchants!$A$2:$D$41, 3, FALSE), "Merchant not found")</f>
        <v>bill_payment</v>
      </c>
      <c r="K14" s="5" t="str">
        <f>IFERROR(VLOOKUP($C14, merchants!$A$2:$D$41, 4, FALSE), "Merchant not found")</f>
        <v>East</v>
      </c>
      <c r="Q14" s="5">
        <f t="shared" si="1"/>
        <v>0.5</v>
      </c>
      <c r="R14" s="6">
        <f t="shared" si="2"/>
        <v>46046</v>
      </c>
      <c r="S14" s="5">
        <f t="shared" si="3"/>
        <v>49</v>
      </c>
      <c r="T14" s="5" t="str">
        <f t="shared" si="4"/>
        <v>Normal</v>
      </c>
    </row>
    <row r="15">
      <c r="A15" s="2" t="s">
        <v>132</v>
      </c>
      <c r="B15" s="2">
        <v>131.0</v>
      </c>
      <c r="C15" s="2">
        <v>3.0</v>
      </c>
      <c r="D15" s="4">
        <v>46035.75833333333</v>
      </c>
      <c r="E15" s="2">
        <v>49.0</v>
      </c>
      <c r="F15" s="2" t="s">
        <v>12</v>
      </c>
      <c r="G15" s="2" t="s">
        <v>23</v>
      </c>
      <c r="H15" s="2">
        <v>90.0</v>
      </c>
      <c r="I15" s="5" t="str">
        <f>IFERROR(VLOOKUP($C15, merchants!$A$2:$D$41, 2, FALSE), "Merchant not found")</f>
        <v>Merchant_003</v>
      </c>
      <c r="J15" s="5" t="str">
        <f>IFERROR(VLOOKUP($C15, merchants!$A$2:$D$41, 3, FALSE), "Merchant not found")</f>
        <v>grocery</v>
      </c>
      <c r="K15" s="5" t="str">
        <f>IFERROR(VLOOKUP($C15, merchants!$A$2:$D$41, 4, FALSE), "Merchant not found")</f>
        <v>East</v>
      </c>
      <c r="Q15" s="5">
        <f t="shared" si="1"/>
        <v>0.3</v>
      </c>
      <c r="R15" s="6">
        <f t="shared" si="2"/>
        <v>46035</v>
      </c>
      <c r="S15" s="5">
        <f t="shared" si="3"/>
        <v>198</v>
      </c>
      <c r="T15" s="5" t="str">
        <f t="shared" si="4"/>
        <v>Normal</v>
      </c>
    </row>
    <row r="16">
      <c r="A16" s="2" t="s">
        <v>133</v>
      </c>
      <c r="B16" s="2">
        <v>276.0</v>
      </c>
      <c r="C16" s="2">
        <v>13.0</v>
      </c>
      <c r="D16" s="4">
        <v>46036.02291666667</v>
      </c>
      <c r="E16" s="2">
        <v>1499.0</v>
      </c>
      <c r="F16" s="2" t="s">
        <v>12</v>
      </c>
      <c r="G16" s="2" t="s">
        <v>23</v>
      </c>
      <c r="H16" s="2">
        <v>46.0</v>
      </c>
      <c r="I16" s="5" t="str">
        <f>IFERROR(VLOOKUP($C16, merchants!$A$2:$D$41, 2, FALSE), "Merchant not found")</f>
        <v>Merchant_013</v>
      </c>
      <c r="J16" s="5" t="str">
        <f>IFERROR(VLOOKUP($C16, merchants!$A$2:$D$41, 3, FALSE), "Merchant not found")</f>
        <v>travel</v>
      </c>
      <c r="K16" s="5" t="str">
        <f>IFERROR(VLOOKUP($C16, merchants!$A$2:$D$41, 4, FALSE), "Merchant not found")</f>
        <v>East</v>
      </c>
      <c r="Q16" s="5">
        <f t="shared" si="1"/>
        <v>0.3</v>
      </c>
      <c r="R16" s="6">
        <f t="shared" si="2"/>
        <v>46036</v>
      </c>
      <c r="S16" s="5">
        <f t="shared" si="3"/>
        <v>1499</v>
      </c>
      <c r="T16" s="5" t="str">
        <f t="shared" si="4"/>
        <v>Normal</v>
      </c>
    </row>
    <row r="17">
      <c r="A17" s="2" t="s">
        <v>134</v>
      </c>
      <c r="B17" s="2">
        <v>170.0</v>
      </c>
      <c r="C17" s="2">
        <v>40.0</v>
      </c>
      <c r="D17" s="4">
        <v>46036.1125</v>
      </c>
      <c r="E17" s="2">
        <v>99.0</v>
      </c>
      <c r="F17" s="2" t="s">
        <v>12</v>
      </c>
      <c r="G17" s="2" t="s">
        <v>23</v>
      </c>
      <c r="H17" s="2">
        <v>40.0</v>
      </c>
      <c r="I17" s="5" t="str">
        <f>IFERROR(VLOOKUP($C17, merchants!$A$2:$D$41, 2, FALSE), "Merchant not found")</f>
        <v>Merchant_040</v>
      </c>
      <c r="J17" s="5" t="str">
        <f>IFERROR(VLOOKUP($C17, merchants!$A$2:$D$41, 3, FALSE), "Merchant not found")</f>
        <v>entertainment</v>
      </c>
      <c r="K17" s="5" t="str">
        <f>IFERROR(VLOOKUP($C17, merchants!$A$2:$D$41, 4, FALSE), "Merchant not found")</f>
        <v>South</v>
      </c>
      <c r="Q17" s="5">
        <f t="shared" si="1"/>
        <v>0.3</v>
      </c>
      <c r="R17" s="6">
        <f t="shared" si="2"/>
        <v>46036</v>
      </c>
      <c r="S17" s="5">
        <f t="shared" si="3"/>
        <v>99</v>
      </c>
      <c r="T17" s="5" t="str">
        <f t="shared" si="4"/>
        <v>Normal</v>
      </c>
    </row>
    <row r="18">
      <c r="A18" s="2" t="s">
        <v>135</v>
      </c>
      <c r="B18" s="2">
        <v>154.0</v>
      </c>
      <c r="C18" s="2">
        <v>33.0</v>
      </c>
      <c r="D18" s="4">
        <v>46044.15694444445</v>
      </c>
      <c r="E18" s="2">
        <v>99.0</v>
      </c>
      <c r="F18" s="2" t="s">
        <v>15</v>
      </c>
      <c r="G18" s="2" t="s">
        <v>23</v>
      </c>
      <c r="H18" s="2">
        <v>39.0</v>
      </c>
      <c r="I18" s="5" t="str">
        <f>IFERROR(VLOOKUP($C18, merchants!$A$2:$D$41, 2, FALSE), "Merchant not found")</f>
        <v>Merchant_033</v>
      </c>
      <c r="J18" s="5" t="str">
        <f>IFERROR(VLOOKUP($C18, merchants!$A$2:$D$41, 3, FALSE), "Merchant not found")</f>
        <v>bill_payment</v>
      </c>
      <c r="K18" s="5" t="str">
        <f>IFERROR(VLOOKUP($C18, merchants!$A$2:$D$41, 4, FALSE), "Merchant not found")</f>
        <v>East</v>
      </c>
      <c r="Q18" s="5">
        <f t="shared" si="1"/>
        <v>0.9</v>
      </c>
      <c r="R18" s="6">
        <f t="shared" si="2"/>
        <v>46044</v>
      </c>
      <c r="S18" s="5">
        <f t="shared" si="3"/>
        <v>99</v>
      </c>
      <c r="T18" s="5" t="str">
        <f t="shared" si="4"/>
        <v>Normal</v>
      </c>
    </row>
    <row r="19">
      <c r="A19" s="2" t="s">
        <v>136</v>
      </c>
      <c r="B19" s="2">
        <v>207.0</v>
      </c>
      <c r="C19" s="2">
        <v>19.0</v>
      </c>
      <c r="D19" s="4">
        <v>46044.555555555555</v>
      </c>
      <c r="E19" s="2">
        <v>2999.0</v>
      </c>
      <c r="F19" s="2" t="s">
        <v>14</v>
      </c>
      <c r="G19" s="2" t="s">
        <v>23</v>
      </c>
      <c r="H19" s="2">
        <v>70.0</v>
      </c>
      <c r="I19" s="5" t="str">
        <f>IFERROR(VLOOKUP($C19, merchants!$A$2:$D$41, 2, FALSE), "Merchant not found")</f>
        <v>Merchant_019</v>
      </c>
      <c r="J19" s="5" t="str">
        <f>IFERROR(VLOOKUP($C19, merchants!$A$2:$D$41, 3, FALSE), "Merchant not found")</f>
        <v>grocery</v>
      </c>
      <c r="K19" s="5" t="str">
        <f>IFERROR(VLOOKUP($C19, merchants!$A$2:$D$41, 4, FALSE), "Merchant not found")</f>
        <v>North</v>
      </c>
      <c r="Q19" s="5">
        <f t="shared" si="1"/>
        <v>1.5</v>
      </c>
      <c r="R19" s="6">
        <f t="shared" si="2"/>
        <v>46044</v>
      </c>
      <c r="S19" s="5">
        <f t="shared" si="3"/>
        <v>2999</v>
      </c>
      <c r="T19" s="5" t="str">
        <f t="shared" si="4"/>
        <v>Normal</v>
      </c>
    </row>
    <row r="20">
      <c r="A20" s="2" t="s">
        <v>137</v>
      </c>
      <c r="B20" s="2">
        <v>341.0</v>
      </c>
      <c r="C20" s="2">
        <v>25.0</v>
      </c>
      <c r="D20" s="4">
        <v>46027.268055555556</v>
      </c>
      <c r="E20" s="2">
        <v>2999.0</v>
      </c>
      <c r="F20" s="2" t="s">
        <v>12</v>
      </c>
      <c r="G20" s="2" t="s">
        <v>23</v>
      </c>
      <c r="H20" s="2">
        <v>86.0</v>
      </c>
      <c r="I20" s="5" t="str">
        <f>IFERROR(VLOOKUP($C20, merchants!$A$2:$D$41, 2, FALSE), "Merchant not found")</f>
        <v>Merchant_025</v>
      </c>
      <c r="J20" s="5" t="str">
        <f>IFERROR(VLOOKUP($C20, merchants!$A$2:$D$41, 3, FALSE), "Merchant not found")</f>
        <v>travel</v>
      </c>
      <c r="K20" s="5" t="str">
        <f>IFERROR(VLOOKUP($C20, merchants!$A$2:$D$41, 4, FALSE), "Merchant not found")</f>
        <v>South</v>
      </c>
      <c r="Q20" s="5">
        <f t="shared" si="1"/>
        <v>0.3</v>
      </c>
      <c r="R20" s="6">
        <f t="shared" si="2"/>
        <v>46027</v>
      </c>
      <c r="S20" s="5">
        <f t="shared" si="3"/>
        <v>4498</v>
      </c>
      <c r="T20" s="5" t="str">
        <f t="shared" si="4"/>
        <v>Normal</v>
      </c>
    </row>
    <row r="21">
      <c r="A21" s="2" t="s">
        <v>138</v>
      </c>
      <c r="B21" s="2">
        <v>292.0</v>
      </c>
      <c r="C21" s="2">
        <v>20.0</v>
      </c>
      <c r="D21" s="4">
        <v>46046.23541666667</v>
      </c>
      <c r="E21" s="2">
        <v>49.0</v>
      </c>
      <c r="F21" s="2" t="s">
        <v>12</v>
      </c>
      <c r="G21" s="2" t="s">
        <v>23</v>
      </c>
      <c r="H21" s="2">
        <v>51.0</v>
      </c>
      <c r="I21" s="5" t="str">
        <f>IFERROR(VLOOKUP($C21, merchants!$A$2:$D$41, 2, FALSE), "Merchant not found")</f>
        <v>Merchant_020</v>
      </c>
      <c r="J21" s="5" t="str">
        <f>IFERROR(VLOOKUP($C21, merchants!$A$2:$D$41, 3, FALSE), "Merchant not found")</f>
        <v>food_delivery</v>
      </c>
      <c r="K21" s="5" t="str">
        <f>IFERROR(VLOOKUP($C21, merchants!$A$2:$D$41, 4, FALSE), "Merchant not found")</f>
        <v>East</v>
      </c>
      <c r="Q21" s="5">
        <f t="shared" si="1"/>
        <v>0.3</v>
      </c>
      <c r="R21" s="6">
        <f t="shared" si="2"/>
        <v>46046</v>
      </c>
      <c r="S21" s="5">
        <f t="shared" si="3"/>
        <v>49</v>
      </c>
      <c r="T21" s="5" t="str">
        <f t="shared" si="4"/>
        <v>Normal</v>
      </c>
    </row>
    <row r="22">
      <c r="A22" s="2" t="s">
        <v>139</v>
      </c>
      <c r="B22" s="2">
        <v>147.0</v>
      </c>
      <c r="C22" s="2">
        <v>14.0</v>
      </c>
      <c r="D22" s="4">
        <v>46040.013194444444</v>
      </c>
      <c r="E22" s="2">
        <v>99.0</v>
      </c>
      <c r="F22" s="2" t="s">
        <v>14</v>
      </c>
      <c r="G22" s="2" t="s">
        <v>23</v>
      </c>
      <c r="H22" s="2">
        <v>55.0</v>
      </c>
      <c r="I22" s="5" t="str">
        <f>IFERROR(VLOOKUP($C22, merchants!$A$2:$D$41, 2, FALSE), "Merchant not found")</f>
        <v>Merchant_014</v>
      </c>
      <c r="J22" s="5" t="str">
        <f>IFERROR(VLOOKUP($C22, merchants!$A$2:$D$41, 3, FALSE), "Merchant not found")</f>
        <v>grocery</v>
      </c>
      <c r="K22" s="5" t="str">
        <f>IFERROR(VLOOKUP($C22, merchants!$A$2:$D$41, 4, FALSE), "Merchant not found")</f>
        <v>East</v>
      </c>
      <c r="Q22" s="5">
        <f t="shared" si="1"/>
        <v>1.5</v>
      </c>
      <c r="R22" s="6">
        <f t="shared" si="2"/>
        <v>46040</v>
      </c>
      <c r="S22" s="5">
        <f t="shared" si="3"/>
        <v>99</v>
      </c>
      <c r="T22" s="5" t="str">
        <f t="shared" si="4"/>
        <v>Normal</v>
      </c>
    </row>
    <row r="23">
      <c r="A23" s="2" t="s">
        <v>140</v>
      </c>
      <c r="B23" s="2">
        <v>336.0</v>
      </c>
      <c r="C23" s="2">
        <v>21.0</v>
      </c>
      <c r="D23" s="4">
        <v>46048.77638888889</v>
      </c>
      <c r="E23" s="2">
        <v>99.0</v>
      </c>
      <c r="F23" s="2" t="s">
        <v>12</v>
      </c>
      <c r="G23" s="2" t="s">
        <v>23</v>
      </c>
      <c r="H23" s="2">
        <v>59.0</v>
      </c>
      <c r="I23" s="5" t="str">
        <f>IFERROR(VLOOKUP($C23, merchants!$A$2:$D$41, 2, FALSE), "Merchant not found")</f>
        <v>Merchant_021</v>
      </c>
      <c r="J23" s="5" t="str">
        <f>IFERROR(VLOOKUP($C23, merchants!$A$2:$D$41, 3, FALSE), "Merchant not found")</f>
        <v>food_delivery</v>
      </c>
      <c r="K23" s="5" t="str">
        <f>IFERROR(VLOOKUP($C23, merchants!$A$2:$D$41, 4, FALSE), "Merchant not found")</f>
        <v>East</v>
      </c>
      <c r="Q23" s="5">
        <f t="shared" si="1"/>
        <v>0.3</v>
      </c>
      <c r="R23" s="6">
        <f t="shared" si="2"/>
        <v>46048</v>
      </c>
      <c r="S23" s="5">
        <f t="shared" si="3"/>
        <v>99</v>
      </c>
      <c r="T23" s="5" t="str">
        <f t="shared" si="4"/>
        <v>Normal</v>
      </c>
    </row>
    <row r="24">
      <c r="A24" s="2" t="s">
        <v>141</v>
      </c>
      <c r="B24" s="2">
        <v>110.0</v>
      </c>
      <c r="C24" s="2">
        <v>33.0</v>
      </c>
      <c r="D24" s="4">
        <v>46037.61319444444</v>
      </c>
      <c r="E24" s="2">
        <v>799.0</v>
      </c>
      <c r="F24" s="2" t="s">
        <v>12</v>
      </c>
      <c r="G24" s="2" t="s">
        <v>23</v>
      </c>
      <c r="H24" s="2">
        <v>60.0</v>
      </c>
      <c r="I24" s="5" t="str">
        <f>IFERROR(VLOOKUP($C24, merchants!$A$2:$D$41, 2, FALSE), "Merchant not found")</f>
        <v>Merchant_033</v>
      </c>
      <c r="J24" s="5" t="str">
        <f>IFERROR(VLOOKUP($C24, merchants!$A$2:$D$41, 3, FALSE), "Merchant not found")</f>
        <v>bill_payment</v>
      </c>
      <c r="K24" s="5" t="str">
        <f>IFERROR(VLOOKUP($C24, merchants!$A$2:$D$41, 4, FALSE), "Merchant not found")</f>
        <v>East</v>
      </c>
      <c r="Q24" s="5">
        <f t="shared" si="1"/>
        <v>0.3</v>
      </c>
      <c r="R24" s="6">
        <f t="shared" si="2"/>
        <v>46037</v>
      </c>
      <c r="S24" s="5">
        <f t="shared" si="3"/>
        <v>799</v>
      </c>
      <c r="T24" s="5" t="str">
        <f t="shared" si="4"/>
        <v>Normal</v>
      </c>
    </row>
    <row r="25">
      <c r="A25" s="2" t="s">
        <v>142</v>
      </c>
      <c r="B25" s="2">
        <v>338.0</v>
      </c>
      <c r="C25" s="2">
        <v>6.0</v>
      </c>
      <c r="D25" s="4">
        <v>46048.96527777778</v>
      </c>
      <c r="E25" s="2">
        <v>799.0</v>
      </c>
      <c r="F25" s="2" t="s">
        <v>12</v>
      </c>
      <c r="G25" s="2" t="s">
        <v>69</v>
      </c>
      <c r="H25" s="2">
        <v>36.0</v>
      </c>
      <c r="I25" s="5" t="str">
        <f>IFERROR(VLOOKUP($C25, merchants!$A$2:$D$41, 2, FALSE), "Merchant not found")</f>
        <v>Merchant_006</v>
      </c>
      <c r="J25" s="5" t="str">
        <f>IFERROR(VLOOKUP($C25, merchants!$A$2:$D$41, 3, FALSE), "Merchant not found")</f>
        <v>food_delivery</v>
      </c>
      <c r="K25" s="5" t="str">
        <f>IFERROR(VLOOKUP($C25, merchants!$A$2:$D$41, 4, FALSE), "Merchant not found")</f>
        <v>South</v>
      </c>
      <c r="Q25" s="5">
        <f t="shared" si="1"/>
        <v>0.3</v>
      </c>
      <c r="R25" s="6">
        <f t="shared" si="2"/>
        <v>46048</v>
      </c>
      <c r="S25" s="5">
        <f t="shared" si="3"/>
        <v>897</v>
      </c>
      <c r="T25" s="5" t="str">
        <f t="shared" si="4"/>
        <v>Normal</v>
      </c>
    </row>
    <row r="26">
      <c r="A26" s="2" t="s">
        <v>143</v>
      </c>
      <c r="B26" s="2">
        <v>318.0</v>
      </c>
      <c r="C26" s="2">
        <v>22.0</v>
      </c>
      <c r="D26" s="4">
        <v>46039.90277777778</v>
      </c>
      <c r="E26" s="2">
        <v>799.0</v>
      </c>
      <c r="F26" s="2" t="s">
        <v>13</v>
      </c>
      <c r="G26" s="2" t="s">
        <v>23</v>
      </c>
      <c r="H26" s="2">
        <v>11.0</v>
      </c>
      <c r="I26" s="5" t="str">
        <f>IFERROR(VLOOKUP($C26, merchants!$A$2:$D$41, 2, FALSE), "Merchant not found")</f>
        <v>Merchant_022</v>
      </c>
      <c r="J26" s="5" t="str">
        <f>IFERROR(VLOOKUP($C26, merchants!$A$2:$D$41, 3, FALSE), "Merchant not found")</f>
        <v>travel</v>
      </c>
      <c r="K26" s="5" t="str">
        <f>IFERROR(VLOOKUP($C26, merchants!$A$2:$D$41, 4, FALSE), "Merchant not found")</f>
        <v>South</v>
      </c>
      <c r="Q26" s="5">
        <f t="shared" si="1"/>
        <v>0.5</v>
      </c>
      <c r="R26" s="6">
        <f t="shared" si="2"/>
        <v>46039</v>
      </c>
      <c r="S26" s="5">
        <f t="shared" si="3"/>
        <v>1598</v>
      </c>
      <c r="T26" s="5" t="str">
        <f t="shared" si="4"/>
        <v>Normal</v>
      </c>
    </row>
    <row r="27">
      <c r="A27" s="2" t="s">
        <v>144</v>
      </c>
      <c r="B27" s="2">
        <v>159.0</v>
      </c>
      <c r="C27" s="2">
        <v>15.0</v>
      </c>
      <c r="D27" s="4">
        <v>46049.32152777778</v>
      </c>
      <c r="E27" s="2">
        <v>799.0</v>
      </c>
      <c r="F27" s="2" t="s">
        <v>12</v>
      </c>
      <c r="G27" s="2" t="s">
        <v>23</v>
      </c>
      <c r="H27" s="2">
        <v>25.0</v>
      </c>
      <c r="I27" s="5" t="str">
        <f>IFERROR(VLOOKUP($C27, merchants!$A$2:$D$41, 2, FALSE), "Merchant not found")</f>
        <v>Merchant_015</v>
      </c>
      <c r="J27" s="5" t="str">
        <f>IFERROR(VLOOKUP($C27, merchants!$A$2:$D$41, 3, FALSE), "Merchant not found")</f>
        <v>travel</v>
      </c>
      <c r="K27" s="5" t="str">
        <f>IFERROR(VLOOKUP($C27, merchants!$A$2:$D$41, 4, FALSE), "Merchant not found")</f>
        <v>North</v>
      </c>
      <c r="Q27" s="5">
        <f t="shared" si="1"/>
        <v>0.3</v>
      </c>
      <c r="R27" s="6">
        <f t="shared" si="2"/>
        <v>46049</v>
      </c>
      <c r="S27" s="5">
        <f t="shared" si="3"/>
        <v>799</v>
      </c>
      <c r="T27" s="5" t="str">
        <f t="shared" si="4"/>
        <v>Normal</v>
      </c>
    </row>
    <row r="28">
      <c r="A28" s="2" t="s">
        <v>145</v>
      </c>
      <c r="B28" s="2">
        <v>126.0</v>
      </c>
      <c r="C28" s="2">
        <v>31.0</v>
      </c>
      <c r="D28" s="4">
        <v>46027.001388888886</v>
      </c>
      <c r="E28" s="2">
        <v>49.0</v>
      </c>
      <c r="F28" s="2" t="s">
        <v>14</v>
      </c>
      <c r="G28" s="2" t="s">
        <v>23</v>
      </c>
      <c r="H28" s="2">
        <v>78.0</v>
      </c>
      <c r="I28" s="5" t="str">
        <f>IFERROR(VLOOKUP($C28, merchants!$A$2:$D$41, 2, FALSE), "Merchant not found")</f>
        <v>Merchant_031</v>
      </c>
      <c r="J28" s="5" t="str">
        <f>IFERROR(VLOOKUP($C28, merchants!$A$2:$D$41, 3, FALSE), "Merchant not found")</f>
        <v>bill_payment</v>
      </c>
      <c r="K28" s="5" t="str">
        <f>IFERROR(VLOOKUP($C28, merchants!$A$2:$D$41, 4, FALSE), "Merchant not found")</f>
        <v>East</v>
      </c>
      <c r="Q28" s="5">
        <f t="shared" si="1"/>
        <v>1.5</v>
      </c>
      <c r="R28" s="6">
        <f t="shared" si="2"/>
        <v>46027</v>
      </c>
      <c r="S28" s="5">
        <f t="shared" si="3"/>
        <v>49</v>
      </c>
      <c r="T28" s="5" t="str">
        <f t="shared" si="4"/>
        <v>Normal</v>
      </c>
    </row>
    <row r="29">
      <c r="A29" s="2" t="s">
        <v>146</v>
      </c>
      <c r="B29" s="2">
        <v>213.0</v>
      </c>
      <c r="C29" s="2">
        <v>37.0</v>
      </c>
      <c r="D29" s="4">
        <v>46050.103472222225</v>
      </c>
      <c r="E29" s="2">
        <v>99.0</v>
      </c>
      <c r="F29" s="2" t="s">
        <v>12</v>
      </c>
      <c r="G29" s="2" t="s">
        <v>23</v>
      </c>
      <c r="H29" s="2">
        <v>24.0</v>
      </c>
      <c r="I29" s="5" t="str">
        <f>IFERROR(VLOOKUP($C29, merchants!$A$2:$D$41, 2, FALSE), "Merchant not found")</f>
        <v>Merchant_037</v>
      </c>
      <c r="J29" s="5" t="str">
        <f>IFERROR(VLOOKUP($C29, merchants!$A$2:$D$41, 3, FALSE), "Merchant not found")</f>
        <v>entertainment</v>
      </c>
      <c r="K29" s="5" t="str">
        <f>IFERROR(VLOOKUP($C29, merchants!$A$2:$D$41, 4, FALSE), "Merchant not found")</f>
        <v>South</v>
      </c>
      <c r="Q29" s="5">
        <f t="shared" si="1"/>
        <v>0.3</v>
      </c>
      <c r="R29" s="6">
        <f t="shared" si="2"/>
        <v>46050</v>
      </c>
      <c r="S29" s="5">
        <f t="shared" si="3"/>
        <v>697</v>
      </c>
      <c r="T29" s="5" t="str">
        <f t="shared" si="4"/>
        <v>Normal</v>
      </c>
    </row>
    <row r="30">
      <c r="A30" s="2" t="s">
        <v>147</v>
      </c>
      <c r="B30" s="2">
        <v>254.0</v>
      </c>
      <c r="C30" s="2">
        <v>26.0</v>
      </c>
      <c r="D30" s="4">
        <v>46045.933333333334</v>
      </c>
      <c r="E30" s="2">
        <v>99.0</v>
      </c>
      <c r="F30" s="2" t="s">
        <v>13</v>
      </c>
      <c r="G30" s="2" t="s">
        <v>23</v>
      </c>
      <c r="H30" s="2">
        <v>31.0</v>
      </c>
      <c r="I30" s="5" t="str">
        <f>IFERROR(VLOOKUP($C30, merchants!$A$2:$D$41, 2, FALSE), "Merchant not found")</f>
        <v>Merchant_026</v>
      </c>
      <c r="J30" s="5" t="str">
        <f>IFERROR(VLOOKUP($C30, merchants!$A$2:$D$41, 3, FALSE), "Merchant not found")</f>
        <v>food_delivery</v>
      </c>
      <c r="K30" s="5" t="str">
        <f>IFERROR(VLOOKUP($C30, merchants!$A$2:$D$41, 4, FALSE), "Merchant not found")</f>
        <v>East</v>
      </c>
      <c r="Q30" s="5">
        <f t="shared" si="1"/>
        <v>0.5</v>
      </c>
      <c r="R30" s="6">
        <f t="shared" si="2"/>
        <v>46045</v>
      </c>
      <c r="S30" s="5">
        <f t="shared" si="3"/>
        <v>99</v>
      </c>
      <c r="T30" s="5" t="str">
        <f t="shared" si="4"/>
        <v>Normal</v>
      </c>
    </row>
    <row r="31">
      <c r="A31" s="2" t="s">
        <v>148</v>
      </c>
      <c r="B31" s="2">
        <v>3.0</v>
      </c>
      <c r="C31" s="2">
        <v>7.0</v>
      </c>
      <c r="D31" s="4">
        <v>46027.86388888889</v>
      </c>
      <c r="E31" s="2">
        <v>1499.0</v>
      </c>
      <c r="F31" s="2" t="s">
        <v>12</v>
      </c>
      <c r="G31" s="2" t="s">
        <v>23</v>
      </c>
      <c r="H31" s="2">
        <v>99.0</v>
      </c>
      <c r="I31" s="5" t="str">
        <f>IFERROR(VLOOKUP($C31, merchants!$A$2:$D$41, 2, FALSE), "Merchant not found")</f>
        <v>Merchant_007</v>
      </c>
      <c r="J31" s="5" t="str">
        <f>IFERROR(VLOOKUP($C31, merchants!$A$2:$D$41, 3, FALSE), "Merchant not found")</f>
        <v>food_delivery</v>
      </c>
      <c r="K31" s="5" t="str">
        <f>IFERROR(VLOOKUP($C31, merchants!$A$2:$D$41, 4, FALSE), "Merchant not found")</f>
        <v>East</v>
      </c>
      <c r="Q31" s="5">
        <f t="shared" si="1"/>
        <v>0.3</v>
      </c>
      <c r="R31" s="6">
        <f t="shared" si="2"/>
        <v>46027</v>
      </c>
      <c r="S31" s="5">
        <f t="shared" si="3"/>
        <v>4498</v>
      </c>
      <c r="T31" s="5" t="str">
        <f t="shared" si="4"/>
        <v>Normal</v>
      </c>
    </row>
    <row r="32">
      <c r="A32" s="2" t="s">
        <v>149</v>
      </c>
      <c r="B32" s="2">
        <v>266.0</v>
      </c>
      <c r="C32" s="2">
        <v>30.0</v>
      </c>
      <c r="D32" s="4">
        <v>46036.299305555556</v>
      </c>
      <c r="E32" s="2">
        <v>499.0</v>
      </c>
      <c r="F32" s="2" t="s">
        <v>14</v>
      </c>
      <c r="G32" s="2" t="s">
        <v>23</v>
      </c>
      <c r="H32" s="2">
        <v>6.0</v>
      </c>
      <c r="I32" s="5" t="str">
        <f>IFERROR(VLOOKUP($C32, merchants!$A$2:$D$41, 2, FALSE), "Merchant not found")</f>
        <v>Merchant_030</v>
      </c>
      <c r="J32" s="5" t="str">
        <f>IFERROR(VLOOKUP($C32, merchants!$A$2:$D$41, 3, FALSE), "Merchant not found")</f>
        <v>travel</v>
      </c>
      <c r="K32" s="5" t="str">
        <f>IFERROR(VLOOKUP($C32, merchants!$A$2:$D$41, 4, FALSE), "Merchant not found")</f>
        <v>West</v>
      </c>
      <c r="Q32" s="5">
        <f t="shared" si="1"/>
        <v>1.5</v>
      </c>
      <c r="R32" s="6">
        <f t="shared" si="2"/>
        <v>46036</v>
      </c>
      <c r="S32" s="5">
        <f t="shared" si="3"/>
        <v>2497</v>
      </c>
      <c r="T32" s="5" t="str">
        <f t="shared" si="4"/>
        <v>Normal</v>
      </c>
    </row>
    <row r="33">
      <c r="A33" s="2" t="s">
        <v>150</v>
      </c>
      <c r="B33" s="2">
        <v>63.0</v>
      </c>
      <c r="C33" s="2">
        <v>30.0</v>
      </c>
      <c r="D33" s="4">
        <v>46040.33194444444</v>
      </c>
      <c r="E33" s="2">
        <v>799.0</v>
      </c>
      <c r="F33" s="2" t="s">
        <v>12</v>
      </c>
      <c r="G33" s="2" t="s">
        <v>23</v>
      </c>
      <c r="H33" s="2">
        <v>17.0</v>
      </c>
      <c r="I33" s="5" t="str">
        <f>IFERROR(VLOOKUP($C33, merchants!$A$2:$D$41, 2, FALSE), "Merchant not found")</f>
        <v>Merchant_030</v>
      </c>
      <c r="J33" s="5" t="str">
        <f>IFERROR(VLOOKUP($C33, merchants!$A$2:$D$41, 3, FALSE), "Merchant not found")</f>
        <v>travel</v>
      </c>
      <c r="K33" s="5" t="str">
        <f>IFERROR(VLOOKUP($C33, merchants!$A$2:$D$41, 4, FALSE), "Merchant not found")</f>
        <v>West</v>
      </c>
      <c r="Q33" s="5">
        <f t="shared" si="1"/>
        <v>0.3</v>
      </c>
      <c r="R33" s="6">
        <f t="shared" si="2"/>
        <v>46040</v>
      </c>
      <c r="S33" s="5">
        <f t="shared" si="3"/>
        <v>799</v>
      </c>
      <c r="T33" s="5" t="str">
        <f t="shared" si="4"/>
        <v>Normal</v>
      </c>
    </row>
    <row r="34">
      <c r="A34" s="2" t="s">
        <v>151</v>
      </c>
      <c r="B34" s="2">
        <v>272.0</v>
      </c>
      <c r="C34" s="2">
        <v>36.0</v>
      </c>
      <c r="D34" s="4">
        <v>46048.6125</v>
      </c>
      <c r="E34" s="2">
        <v>149.0</v>
      </c>
      <c r="F34" s="2" t="s">
        <v>12</v>
      </c>
      <c r="G34" s="2" t="s">
        <v>23</v>
      </c>
      <c r="H34" s="2">
        <v>76.0</v>
      </c>
      <c r="I34" s="5" t="str">
        <f>IFERROR(VLOOKUP($C34, merchants!$A$2:$D$41, 2, FALSE), "Merchant not found")</f>
        <v>Merchant_036</v>
      </c>
      <c r="J34" s="5" t="str">
        <f>IFERROR(VLOOKUP($C34, merchants!$A$2:$D$41, 3, FALSE), "Merchant not found")</f>
        <v>entertainment</v>
      </c>
      <c r="K34" s="5" t="str">
        <f>IFERROR(VLOOKUP($C34, merchants!$A$2:$D$41, 4, FALSE), "Merchant not found")</f>
        <v>East</v>
      </c>
      <c r="Q34" s="5">
        <f t="shared" si="1"/>
        <v>0.3</v>
      </c>
      <c r="R34" s="6">
        <f t="shared" si="2"/>
        <v>46048</v>
      </c>
      <c r="S34" s="5">
        <f t="shared" si="3"/>
        <v>198</v>
      </c>
      <c r="T34" s="5" t="str">
        <f t="shared" si="4"/>
        <v>Normal</v>
      </c>
    </row>
    <row r="35">
      <c r="A35" s="2" t="s">
        <v>152</v>
      </c>
      <c r="B35" s="2">
        <v>259.0</v>
      </c>
      <c r="C35" s="2">
        <v>28.0</v>
      </c>
      <c r="D35" s="4">
        <v>46033.61041666667</v>
      </c>
      <c r="E35" s="2">
        <v>49.0</v>
      </c>
      <c r="F35" s="2" t="s">
        <v>13</v>
      </c>
      <c r="G35" s="2" t="s">
        <v>23</v>
      </c>
      <c r="H35" s="2">
        <v>70.0</v>
      </c>
      <c r="I35" s="5" t="str">
        <f>IFERROR(VLOOKUP($C35, merchants!$A$2:$D$41, 2, FALSE), "Merchant not found")</f>
        <v>Merchant_028</v>
      </c>
      <c r="J35" s="5" t="str">
        <f>IFERROR(VLOOKUP($C35, merchants!$A$2:$D$41, 3, FALSE), "Merchant not found")</f>
        <v>ecommerce</v>
      </c>
      <c r="K35" s="5" t="str">
        <f>IFERROR(VLOOKUP($C35, merchants!$A$2:$D$41, 4, FALSE), "Merchant not found")</f>
        <v>South</v>
      </c>
      <c r="Q35" s="5">
        <f t="shared" si="1"/>
        <v>0.5</v>
      </c>
      <c r="R35" s="6">
        <f t="shared" si="2"/>
        <v>46033</v>
      </c>
      <c r="S35" s="5">
        <f t="shared" si="3"/>
        <v>49</v>
      </c>
      <c r="T35" s="5" t="str">
        <f t="shared" si="4"/>
        <v>Normal</v>
      </c>
    </row>
    <row r="36">
      <c r="A36" s="2" t="s">
        <v>153</v>
      </c>
      <c r="B36" s="2">
        <v>244.0</v>
      </c>
      <c r="C36" s="2">
        <v>29.0</v>
      </c>
      <c r="D36" s="4">
        <v>46037.24097222222</v>
      </c>
      <c r="E36" s="2">
        <v>299.0</v>
      </c>
      <c r="F36" s="2" t="s">
        <v>15</v>
      </c>
      <c r="G36" s="2" t="s">
        <v>23</v>
      </c>
      <c r="H36" s="2">
        <v>33.0</v>
      </c>
      <c r="I36" s="5" t="str">
        <f>IFERROR(VLOOKUP($C36, merchants!$A$2:$D$41, 2, FALSE), "Merchant not found")</f>
        <v>Merchant_029</v>
      </c>
      <c r="J36" s="5" t="str">
        <f>IFERROR(VLOOKUP($C36, merchants!$A$2:$D$41, 3, FALSE), "Merchant not found")</f>
        <v>ecommerce</v>
      </c>
      <c r="K36" s="5" t="str">
        <f>IFERROR(VLOOKUP($C36, merchants!$A$2:$D$41, 4, FALSE), "Merchant not found")</f>
        <v>North</v>
      </c>
      <c r="Q36" s="5">
        <f t="shared" si="1"/>
        <v>0.9</v>
      </c>
      <c r="R36" s="6">
        <f t="shared" si="2"/>
        <v>46037</v>
      </c>
      <c r="S36" s="5">
        <f t="shared" si="3"/>
        <v>1098</v>
      </c>
      <c r="T36" s="5" t="str">
        <f t="shared" si="4"/>
        <v>Normal</v>
      </c>
    </row>
    <row r="37">
      <c r="A37" s="2" t="s">
        <v>154</v>
      </c>
      <c r="B37" s="2">
        <v>327.0</v>
      </c>
      <c r="C37" s="2">
        <v>18.0</v>
      </c>
      <c r="D37" s="4">
        <v>46047.32847222222</v>
      </c>
      <c r="E37" s="2">
        <v>149.0</v>
      </c>
      <c r="F37" s="2" t="s">
        <v>14</v>
      </c>
      <c r="G37" s="2" t="s">
        <v>23</v>
      </c>
      <c r="H37" s="2">
        <v>98.0</v>
      </c>
      <c r="I37" s="5" t="str">
        <f>IFERROR(VLOOKUP($C37, merchants!$A$2:$D$41, 2, FALSE), "Merchant not found")</f>
        <v>Merchant_018</v>
      </c>
      <c r="J37" s="5" t="str">
        <f>IFERROR(VLOOKUP($C37, merchants!$A$2:$D$41, 3, FALSE), "Merchant not found")</f>
        <v>grocery</v>
      </c>
      <c r="K37" s="5" t="str">
        <f>IFERROR(VLOOKUP($C37, merchants!$A$2:$D$41, 4, FALSE), "Merchant not found")</f>
        <v>West</v>
      </c>
      <c r="Q37" s="5">
        <f t="shared" si="1"/>
        <v>1.5</v>
      </c>
      <c r="R37" s="6">
        <f t="shared" si="2"/>
        <v>46047</v>
      </c>
      <c r="S37" s="5">
        <f t="shared" si="3"/>
        <v>1648</v>
      </c>
      <c r="T37" s="5" t="str">
        <f t="shared" si="4"/>
        <v>Normal</v>
      </c>
    </row>
    <row r="38">
      <c r="A38" s="2" t="s">
        <v>155</v>
      </c>
      <c r="B38" s="2">
        <v>321.0</v>
      </c>
      <c r="C38" s="2">
        <v>16.0</v>
      </c>
      <c r="D38" s="4">
        <v>46047.68819444445</v>
      </c>
      <c r="E38" s="2">
        <v>49.0</v>
      </c>
      <c r="F38" s="2" t="s">
        <v>12</v>
      </c>
      <c r="G38" s="2" t="s">
        <v>23</v>
      </c>
      <c r="H38" s="2">
        <v>35.0</v>
      </c>
      <c r="I38" s="5" t="str">
        <f>IFERROR(VLOOKUP($C38, merchants!$A$2:$D$41, 2, FALSE), "Merchant not found")</f>
        <v>Merchant_016</v>
      </c>
      <c r="J38" s="5" t="str">
        <f>IFERROR(VLOOKUP($C38, merchants!$A$2:$D$41, 3, FALSE), "Merchant not found")</f>
        <v>bill_payment</v>
      </c>
      <c r="K38" s="5" t="str">
        <f>IFERROR(VLOOKUP($C38, merchants!$A$2:$D$41, 4, FALSE), "Merchant not found")</f>
        <v>West</v>
      </c>
      <c r="Q38" s="5">
        <f t="shared" si="1"/>
        <v>0.3</v>
      </c>
      <c r="R38" s="6">
        <f t="shared" si="2"/>
        <v>46047</v>
      </c>
      <c r="S38" s="5">
        <f t="shared" si="3"/>
        <v>98</v>
      </c>
      <c r="T38" s="5" t="str">
        <f t="shared" si="4"/>
        <v>Normal</v>
      </c>
    </row>
    <row r="39">
      <c r="A39" s="2" t="s">
        <v>156</v>
      </c>
      <c r="B39" s="2">
        <v>147.0</v>
      </c>
      <c r="C39" s="2">
        <v>16.0</v>
      </c>
      <c r="D39" s="4">
        <v>46037.114583333336</v>
      </c>
      <c r="E39" s="2">
        <v>2999.0</v>
      </c>
      <c r="F39" s="2" t="s">
        <v>14</v>
      </c>
      <c r="G39" s="2" t="s">
        <v>23</v>
      </c>
      <c r="H39" s="2">
        <v>34.0</v>
      </c>
      <c r="I39" s="5" t="str">
        <f>IFERROR(VLOOKUP($C39, merchants!$A$2:$D$41, 2, FALSE), "Merchant not found")</f>
        <v>Merchant_016</v>
      </c>
      <c r="J39" s="5" t="str">
        <f>IFERROR(VLOOKUP($C39, merchants!$A$2:$D$41, 3, FALSE), "Merchant not found")</f>
        <v>bill_payment</v>
      </c>
      <c r="K39" s="5" t="str">
        <f>IFERROR(VLOOKUP($C39, merchants!$A$2:$D$41, 4, FALSE), "Merchant not found")</f>
        <v>West</v>
      </c>
      <c r="Q39" s="5">
        <f t="shared" si="1"/>
        <v>1.5</v>
      </c>
      <c r="R39" s="6">
        <f t="shared" si="2"/>
        <v>46037</v>
      </c>
      <c r="S39" s="5">
        <f t="shared" si="3"/>
        <v>2999</v>
      </c>
      <c r="T39" s="5" t="str">
        <f t="shared" si="4"/>
        <v>Normal</v>
      </c>
    </row>
    <row r="40">
      <c r="A40" s="2" t="s">
        <v>157</v>
      </c>
      <c r="B40" s="2">
        <v>277.0</v>
      </c>
      <c r="C40" s="2">
        <v>6.0</v>
      </c>
      <c r="D40" s="4">
        <v>46033.45625</v>
      </c>
      <c r="E40" s="2">
        <v>1499.0</v>
      </c>
      <c r="F40" s="2" t="s">
        <v>14</v>
      </c>
      <c r="G40" s="2" t="s">
        <v>23</v>
      </c>
      <c r="H40" s="2">
        <v>17.0</v>
      </c>
      <c r="I40" s="5" t="str">
        <f>IFERROR(VLOOKUP($C40, merchants!$A$2:$D$41, 2, FALSE), "Merchant not found")</f>
        <v>Merchant_006</v>
      </c>
      <c r="J40" s="5" t="str">
        <f>IFERROR(VLOOKUP($C40, merchants!$A$2:$D$41, 3, FALSE), "Merchant not found")</f>
        <v>food_delivery</v>
      </c>
      <c r="K40" s="5" t="str">
        <f>IFERROR(VLOOKUP($C40, merchants!$A$2:$D$41, 4, FALSE), "Merchant not found")</f>
        <v>South</v>
      </c>
      <c r="Q40" s="5">
        <f t="shared" si="1"/>
        <v>1.5</v>
      </c>
      <c r="R40" s="6">
        <f t="shared" si="2"/>
        <v>46033</v>
      </c>
      <c r="S40" s="5">
        <f t="shared" si="3"/>
        <v>1499</v>
      </c>
      <c r="T40" s="5" t="str">
        <f t="shared" si="4"/>
        <v>Normal</v>
      </c>
    </row>
    <row r="41">
      <c r="A41" s="2" t="s">
        <v>158</v>
      </c>
      <c r="B41" s="2">
        <v>79.0</v>
      </c>
      <c r="C41" s="2">
        <v>14.0</v>
      </c>
      <c r="D41" s="4">
        <v>46027.308333333334</v>
      </c>
      <c r="E41" s="2">
        <v>1499.0</v>
      </c>
      <c r="F41" s="2" t="s">
        <v>12</v>
      </c>
      <c r="G41" s="2" t="s">
        <v>23</v>
      </c>
      <c r="H41" s="2">
        <v>8.0</v>
      </c>
      <c r="I41" s="5" t="str">
        <f>IFERROR(VLOOKUP($C41, merchants!$A$2:$D$41, 2, FALSE), "Merchant not found")</f>
        <v>Merchant_014</v>
      </c>
      <c r="J41" s="5" t="str">
        <f>IFERROR(VLOOKUP($C41, merchants!$A$2:$D$41, 3, FALSE), "Merchant not found")</f>
        <v>grocery</v>
      </c>
      <c r="K41" s="5" t="str">
        <f>IFERROR(VLOOKUP($C41, merchants!$A$2:$D$41, 4, FALSE), "Merchant not found")</f>
        <v>East</v>
      </c>
      <c r="Q41" s="5">
        <f t="shared" si="1"/>
        <v>0.3</v>
      </c>
      <c r="R41" s="6">
        <f t="shared" si="2"/>
        <v>46027</v>
      </c>
      <c r="S41" s="5">
        <f t="shared" si="3"/>
        <v>1499</v>
      </c>
      <c r="T41" s="5" t="str">
        <f t="shared" si="4"/>
        <v>Normal</v>
      </c>
    </row>
    <row r="42">
      <c r="A42" s="2" t="s">
        <v>159</v>
      </c>
      <c r="B42" s="2">
        <v>278.0</v>
      </c>
      <c r="C42" s="2">
        <v>30.0</v>
      </c>
      <c r="D42" s="4">
        <v>46036.55625</v>
      </c>
      <c r="E42" s="2">
        <v>1499.0</v>
      </c>
      <c r="F42" s="2" t="s">
        <v>12</v>
      </c>
      <c r="G42" s="2" t="s">
        <v>23</v>
      </c>
      <c r="H42" s="2">
        <v>53.0</v>
      </c>
      <c r="I42" s="5" t="str">
        <f>IFERROR(VLOOKUP($C42, merchants!$A$2:$D$41, 2, FALSE), "Merchant not found")</f>
        <v>Merchant_030</v>
      </c>
      <c r="J42" s="5" t="str">
        <f>IFERROR(VLOOKUP($C42, merchants!$A$2:$D$41, 3, FALSE), "Merchant not found")</f>
        <v>travel</v>
      </c>
      <c r="K42" s="5" t="str">
        <f>IFERROR(VLOOKUP($C42, merchants!$A$2:$D$41, 4, FALSE), "Merchant not found")</f>
        <v>West</v>
      </c>
      <c r="Q42" s="5">
        <f t="shared" si="1"/>
        <v>0.3</v>
      </c>
      <c r="R42" s="6">
        <f t="shared" si="2"/>
        <v>46036</v>
      </c>
      <c r="S42" s="5">
        <f t="shared" si="3"/>
        <v>2497</v>
      </c>
      <c r="T42" s="5" t="str">
        <f t="shared" si="4"/>
        <v>Normal</v>
      </c>
    </row>
    <row r="43">
      <c r="A43" s="2" t="s">
        <v>160</v>
      </c>
      <c r="B43" s="2">
        <v>216.0</v>
      </c>
      <c r="C43" s="2">
        <v>25.0</v>
      </c>
      <c r="D43" s="4">
        <v>46024.28680555556</v>
      </c>
      <c r="E43" s="2">
        <v>99.0</v>
      </c>
      <c r="F43" s="2" t="s">
        <v>12</v>
      </c>
      <c r="G43" s="2" t="s">
        <v>23</v>
      </c>
      <c r="H43" s="2">
        <v>98.0</v>
      </c>
      <c r="I43" s="5" t="str">
        <f>IFERROR(VLOOKUP($C43, merchants!$A$2:$D$41, 2, FALSE), "Merchant not found")</f>
        <v>Merchant_025</v>
      </c>
      <c r="J43" s="5" t="str">
        <f>IFERROR(VLOOKUP($C43, merchants!$A$2:$D$41, 3, FALSE), "Merchant not found")</f>
        <v>travel</v>
      </c>
      <c r="K43" s="5" t="str">
        <f>IFERROR(VLOOKUP($C43, merchants!$A$2:$D$41, 4, FALSE), "Merchant not found")</f>
        <v>South</v>
      </c>
      <c r="Q43" s="5">
        <f t="shared" si="1"/>
        <v>0.3</v>
      </c>
      <c r="R43" s="6">
        <f t="shared" si="2"/>
        <v>46024</v>
      </c>
      <c r="S43" s="5">
        <f t="shared" si="3"/>
        <v>99</v>
      </c>
      <c r="T43" s="5" t="str">
        <f t="shared" si="4"/>
        <v>Normal</v>
      </c>
    </row>
    <row r="44">
      <c r="A44" s="2" t="s">
        <v>161</v>
      </c>
      <c r="B44" s="2">
        <v>295.0</v>
      </c>
      <c r="C44" s="2">
        <v>25.0</v>
      </c>
      <c r="D44" s="4">
        <v>46041.91736111111</v>
      </c>
      <c r="E44" s="2">
        <v>1499.0</v>
      </c>
      <c r="F44" s="2" t="s">
        <v>12</v>
      </c>
      <c r="G44" s="2" t="s">
        <v>23</v>
      </c>
      <c r="H44" s="2">
        <v>61.0</v>
      </c>
      <c r="I44" s="5" t="str">
        <f>IFERROR(VLOOKUP($C44, merchants!$A$2:$D$41, 2, FALSE), "Merchant not found")</f>
        <v>Merchant_025</v>
      </c>
      <c r="J44" s="5" t="str">
        <f>IFERROR(VLOOKUP($C44, merchants!$A$2:$D$41, 3, FALSE), "Merchant not found")</f>
        <v>travel</v>
      </c>
      <c r="K44" s="5" t="str">
        <f>IFERROR(VLOOKUP($C44, merchants!$A$2:$D$41, 4, FALSE), "Merchant not found")</f>
        <v>South</v>
      </c>
      <c r="Q44" s="5">
        <f t="shared" si="1"/>
        <v>0.3</v>
      </c>
      <c r="R44" s="6">
        <f t="shared" si="2"/>
        <v>46041</v>
      </c>
      <c r="S44" s="5">
        <f t="shared" si="3"/>
        <v>4498</v>
      </c>
      <c r="T44" s="5" t="str">
        <f t="shared" si="4"/>
        <v>Normal</v>
      </c>
    </row>
    <row r="45">
      <c r="A45" s="2" t="s">
        <v>162</v>
      </c>
      <c r="B45" s="2">
        <v>200.0</v>
      </c>
      <c r="C45" s="2">
        <v>27.0</v>
      </c>
      <c r="D45" s="4">
        <v>46023.47152777778</v>
      </c>
      <c r="E45" s="2">
        <v>149.0</v>
      </c>
      <c r="F45" s="2" t="s">
        <v>12</v>
      </c>
      <c r="G45" s="2" t="s">
        <v>23</v>
      </c>
      <c r="H45" s="2">
        <v>68.0</v>
      </c>
      <c r="I45" s="5" t="str">
        <f>IFERROR(VLOOKUP($C45, merchants!$A$2:$D$41, 2, FALSE), "Merchant not found")</f>
        <v>Merchant_027</v>
      </c>
      <c r="J45" s="5" t="str">
        <f>IFERROR(VLOOKUP($C45, merchants!$A$2:$D$41, 3, FALSE), "Merchant not found")</f>
        <v>ecommerce</v>
      </c>
      <c r="K45" s="5" t="str">
        <f>IFERROR(VLOOKUP($C45, merchants!$A$2:$D$41, 4, FALSE), "Merchant not found")</f>
        <v>North</v>
      </c>
      <c r="Q45" s="5">
        <f t="shared" si="1"/>
        <v>0.3</v>
      </c>
      <c r="R45" s="6">
        <f t="shared" si="2"/>
        <v>46023</v>
      </c>
      <c r="S45" s="5">
        <f t="shared" si="3"/>
        <v>149</v>
      </c>
      <c r="T45" s="5" t="str">
        <f t="shared" si="4"/>
        <v>Normal</v>
      </c>
    </row>
    <row r="46">
      <c r="A46" s="2" t="s">
        <v>163</v>
      </c>
      <c r="B46" s="2">
        <v>309.0</v>
      </c>
      <c r="C46" s="2">
        <v>15.0</v>
      </c>
      <c r="D46" s="4">
        <v>46046.981944444444</v>
      </c>
      <c r="E46" s="2">
        <v>99.0</v>
      </c>
      <c r="F46" s="2" t="s">
        <v>15</v>
      </c>
      <c r="G46" s="2" t="s">
        <v>23</v>
      </c>
      <c r="H46" s="2">
        <v>62.0</v>
      </c>
      <c r="I46" s="5" t="str">
        <f>IFERROR(VLOOKUP($C46, merchants!$A$2:$D$41, 2, FALSE), "Merchant not found")</f>
        <v>Merchant_015</v>
      </c>
      <c r="J46" s="5" t="str">
        <f>IFERROR(VLOOKUP($C46, merchants!$A$2:$D$41, 3, FALSE), "Merchant not found")</f>
        <v>travel</v>
      </c>
      <c r="K46" s="5" t="str">
        <f>IFERROR(VLOOKUP($C46, merchants!$A$2:$D$41, 4, FALSE), "Merchant not found")</f>
        <v>North</v>
      </c>
      <c r="Q46" s="5">
        <f t="shared" si="1"/>
        <v>0.9</v>
      </c>
      <c r="R46" s="6">
        <f t="shared" si="2"/>
        <v>46046</v>
      </c>
      <c r="S46" s="5">
        <f t="shared" si="3"/>
        <v>148</v>
      </c>
      <c r="T46" s="5" t="str">
        <f t="shared" si="4"/>
        <v>Normal</v>
      </c>
    </row>
    <row r="47">
      <c r="A47" s="2" t="s">
        <v>164</v>
      </c>
      <c r="B47" s="2">
        <v>249.0</v>
      </c>
      <c r="C47" s="2">
        <v>2.0</v>
      </c>
      <c r="D47" s="4">
        <v>46030.35208333333</v>
      </c>
      <c r="E47" s="2">
        <v>299.0</v>
      </c>
      <c r="F47" s="2" t="s">
        <v>13</v>
      </c>
      <c r="G47" s="2" t="s">
        <v>23</v>
      </c>
      <c r="H47" s="2">
        <v>49.0</v>
      </c>
      <c r="I47" s="5" t="str">
        <f>IFERROR(VLOOKUP($C47, merchants!$A$2:$D$41, 2, FALSE), "Merchant not found")</f>
        <v>Merchant_002</v>
      </c>
      <c r="J47" s="5" t="str">
        <f>IFERROR(VLOOKUP($C47, merchants!$A$2:$D$41, 3, FALSE), "Merchant not found")</f>
        <v>grocery</v>
      </c>
      <c r="K47" s="5" t="str">
        <f>IFERROR(VLOOKUP($C47, merchants!$A$2:$D$41, 4, FALSE), "Merchant not found")</f>
        <v>West</v>
      </c>
      <c r="Q47" s="5">
        <f t="shared" si="1"/>
        <v>0.5</v>
      </c>
      <c r="R47" s="6">
        <f t="shared" si="2"/>
        <v>46030</v>
      </c>
      <c r="S47" s="5">
        <f t="shared" si="3"/>
        <v>299</v>
      </c>
      <c r="T47" s="5" t="str">
        <f t="shared" si="4"/>
        <v>Normal</v>
      </c>
    </row>
    <row r="48">
      <c r="A48" s="2" t="s">
        <v>165</v>
      </c>
      <c r="B48" s="2">
        <v>208.0</v>
      </c>
      <c r="C48" s="2">
        <v>11.0</v>
      </c>
      <c r="D48" s="4">
        <v>46033.904861111114</v>
      </c>
      <c r="E48" s="2">
        <v>4999.0</v>
      </c>
      <c r="F48" s="2" t="s">
        <v>15</v>
      </c>
      <c r="G48" s="2" t="s">
        <v>23</v>
      </c>
      <c r="H48" s="2">
        <v>59.0</v>
      </c>
      <c r="I48" s="5" t="str">
        <f>IFERROR(VLOOKUP($C48, merchants!$A$2:$D$41, 2, FALSE), "Merchant not found")</f>
        <v>Merchant_011</v>
      </c>
      <c r="J48" s="5" t="str">
        <f>IFERROR(VLOOKUP($C48, merchants!$A$2:$D$41, 3, FALSE), "Merchant not found")</f>
        <v>ecommerce</v>
      </c>
      <c r="K48" s="5" t="str">
        <f>IFERROR(VLOOKUP($C48, merchants!$A$2:$D$41, 4, FALSE), "Merchant not found")</f>
        <v>North</v>
      </c>
      <c r="Q48" s="5">
        <f t="shared" si="1"/>
        <v>0.9</v>
      </c>
      <c r="R48" s="6">
        <f t="shared" si="2"/>
        <v>46033</v>
      </c>
      <c r="S48" s="5">
        <f t="shared" si="3"/>
        <v>4999</v>
      </c>
      <c r="T48" s="5" t="str">
        <f t="shared" si="4"/>
        <v>Normal</v>
      </c>
    </row>
    <row r="49">
      <c r="A49" s="2" t="s">
        <v>166</v>
      </c>
      <c r="B49" s="2">
        <v>274.0</v>
      </c>
      <c r="C49" s="2">
        <v>2.0</v>
      </c>
      <c r="D49" s="4">
        <v>46052.19375</v>
      </c>
      <c r="E49" s="2">
        <v>299.0</v>
      </c>
      <c r="F49" s="2" t="s">
        <v>12</v>
      </c>
      <c r="G49" s="2" t="s">
        <v>23</v>
      </c>
      <c r="H49" s="2">
        <v>50.0</v>
      </c>
      <c r="I49" s="5" t="str">
        <f>IFERROR(VLOOKUP($C49, merchants!$A$2:$D$41, 2, FALSE), "Merchant not found")</f>
        <v>Merchant_002</v>
      </c>
      <c r="J49" s="5" t="str">
        <f>IFERROR(VLOOKUP($C49, merchants!$A$2:$D$41, 3, FALSE), "Merchant not found")</f>
        <v>grocery</v>
      </c>
      <c r="K49" s="5" t="str">
        <f>IFERROR(VLOOKUP($C49, merchants!$A$2:$D$41, 4, FALSE), "Merchant not found")</f>
        <v>West</v>
      </c>
      <c r="Q49" s="5">
        <f t="shared" si="1"/>
        <v>0.3</v>
      </c>
      <c r="R49" s="6">
        <f t="shared" si="2"/>
        <v>46052</v>
      </c>
      <c r="S49" s="5">
        <f t="shared" si="3"/>
        <v>299</v>
      </c>
      <c r="T49" s="5" t="str">
        <f t="shared" si="4"/>
        <v>Normal</v>
      </c>
    </row>
    <row r="50">
      <c r="A50" s="2" t="s">
        <v>167</v>
      </c>
      <c r="B50" s="2">
        <v>14.0</v>
      </c>
      <c r="C50" s="2">
        <v>6.0</v>
      </c>
      <c r="D50" s="4">
        <v>46041.77916666667</v>
      </c>
      <c r="E50" s="2">
        <v>49.0</v>
      </c>
      <c r="F50" s="2" t="s">
        <v>13</v>
      </c>
      <c r="G50" s="2" t="s">
        <v>23</v>
      </c>
      <c r="H50" s="2">
        <v>82.0</v>
      </c>
      <c r="I50" s="5" t="str">
        <f>IFERROR(VLOOKUP($C50, merchants!$A$2:$D$41, 2, FALSE), "Merchant not found")</f>
        <v>Merchant_006</v>
      </c>
      <c r="J50" s="5" t="str">
        <f>IFERROR(VLOOKUP($C50, merchants!$A$2:$D$41, 3, FALSE), "Merchant not found")</f>
        <v>food_delivery</v>
      </c>
      <c r="K50" s="5" t="str">
        <f>IFERROR(VLOOKUP($C50, merchants!$A$2:$D$41, 4, FALSE), "Merchant not found")</f>
        <v>South</v>
      </c>
      <c r="Q50" s="5">
        <f t="shared" si="1"/>
        <v>0.5</v>
      </c>
      <c r="R50" s="6">
        <f t="shared" si="2"/>
        <v>46041</v>
      </c>
      <c r="S50" s="5">
        <f t="shared" si="3"/>
        <v>49</v>
      </c>
      <c r="T50" s="5" t="str">
        <f t="shared" si="4"/>
        <v>Normal</v>
      </c>
    </row>
    <row r="51">
      <c r="A51" s="2" t="s">
        <v>168</v>
      </c>
      <c r="B51" s="2">
        <v>237.0</v>
      </c>
      <c r="C51" s="2">
        <v>12.0</v>
      </c>
      <c r="D51" s="4">
        <v>46036.20486111111</v>
      </c>
      <c r="E51" s="2">
        <v>49.0</v>
      </c>
      <c r="F51" s="2" t="s">
        <v>12</v>
      </c>
      <c r="G51" s="2" t="s">
        <v>23</v>
      </c>
      <c r="H51" s="2">
        <v>6.0</v>
      </c>
      <c r="I51" s="5" t="str">
        <f>IFERROR(VLOOKUP($C51, merchants!$A$2:$D$41, 2, FALSE), "Merchant not found")</f>
        <v>Merchant_012</v>
      </c>
      <c r="J51" s="5" t="str">
        <f>IFERROR(VLOOKUP($C51, merchants!$A$2:$D$41, 3, FALSE), "Merchant not found")</f>
        <v>ecommerce</v>
      </c>
      <c r="K51" s="5" t="str">
        <f>IFERROR(VLOOKUP($C51, merchants!$A$2:$D$41, 4, FALSE), "Merchant not found")</f>
        <v>East</v>
      </c>
      <c r="Q51" s="5">
        <f t="shared" si="1"/>
        <v>0.3</v>
      </c>
      <c r="R51" s="6">
        <f t="shared" si="2"/>
        <v>46036</v>
      </c>
      <c r="S51" s="5">
        <f t="shared" si="3"/>
        <v>548</v>
      </c>
      <c r="T51" s="5" t="str">
        <f t="shared" si="4"/>
        <v>Normal</v>
      </c>
    </row>
    <row r="52">
      <c r="A52" s="2" t="s">
        <v>169</v>
      </c>
      <c r="B52" s="2">
        <v>109.0</v>
      </c>
      <c r="C52" s="2">
        <v>30.0</v>
      </c>
      <c r="D52" s="4">
        <v>46031.51388888889</v>
      </c>
      <c r="E52" s="2">
        <v>99.0</v>
      </c>
      <c r="F52" s="2" t="s">
        <v>12</v>
      </c>
      <c r="G52" s="2" t="s">
        <v>23</v>
      </c>
      <c r="H52" s="2">
        <v>41.0</v>
      </c>
      <c r="I52" s="5" t="str">
        <f>IFERROR(VLOOKUP($C52, merchants!$A$2:$D$41, 2, FALSE), "Merchant not found")</f>
        <v>Merchant_030</v>
      </c>
      <c r="J52" s="5" t="str">
        <f>IFERROR(VLOOKUP($C52, merchants!$A$2:$D$41, 3, FALSE), "Merchant not found")</f>
        <v>travel</v>
      </c>
      <c r="K52" s="5" t="str">
        <f>IFERROR(VLOOKUP($C52, merchants!$A$2:$D$41, 4, FALSE), "Merchant not found")</f>
        <v>West</v>
      </c>
      <c r="Q52" s="5">
        <f t="shared" si="1"/>
        <v>0.3</v>
      </c>
      <c r="R52" s="6">
        <f t="shared" si="2"/>
        <v>46031</v>
      </c>
      <c r="S52" s="5">
        <f t="shared" si="3"/>
        <v>99</v>
      </c>
      <c r="T52" s="5" t="str">
        <f t="shared" si="4"/>
        <v>Normal</v>
      </c>
    </row>
    <row r="53">
      <c r="A53" s="2" t="s">
        <v>170</v>
      </c>
      <c r="B53" s="2">
        <v>216.0</v>
      </c>
      <c r="C53" s="2">
        <v>17.0</v>
      </c>
      <c r="D53" s="4">
        <v>46033.51180555556</v>
      </c>
      <c r="E53" s="2">
        <v>4999.0</v>
      </c>
      <c r="F53" s="2" t="s">
        <v>12</v>
      </c>
      <c r="G53" s="2" t="s">
        <v>23</v>
      </c>
      <c r="H53" s="2">
        <v>10.0</v>
      </c>
      <c r="I53" s="5" t="str">
        <f>IFERROR(VLOOKUP($C53, merchants!$A$2:$D$41, 2, FALSE), "Merchant not found")</f>
        <v>Merchant_017</v>
      </c>
      <c r="J53" s="5" t="str">
        <f>IFERROR(VLOOKUP($C53, merchants!$A$2:$D$41, 3, FALSE), "Merchant not found")</f>
        <v>grocery</v>
      </c>
      <c r="K53" s="5" t="str">
        <f>IFERROR(VLOOKUP($C53, merchants!$A$2:$D$41, 4, FALSE), "Merchant not found")</f>
        <v>North</v>
      </c>
      <c r="Q53" s="5">
        <f t="shared" si="1"/>
        <v>0.3</v>
      </c>
      <c r="R53" s="6">
        <f t="shared" si="2"/>
        <v>46033</v>
      </c>
      <c r="S53" s="5">
        <f t="shared" si="3"/>
        <v>7998</v>
      </c>
      <c r="T53" s="5" t="str">
        <f t="shared" si="4"/>
        <v>High-Value Merchant Day</v>
      </c>
    </row>
    <row r="54">
      <c r="A54" s="2" t="s">
        <v>171</v>
      </c>
      <c r="B54" s="2">
        <v>277.0</v>
      </c>
      <c r="C54" s="2">
        <v>4.0</v>
      </c>
      <c r="D54" s="4">
        <v>46038.032638888886</v>
      </c>
      <c r="E54" s="2">
        <v>799.0</v>
      </c>
      <c r="F54" s="2" t="s">
        <v>12</v>
      </c>
      <c r="G54" s="2" t="s">
        <v>23</v>
      </c>
      <c r="H54" s="2">
        <v>44.0</v>
      </c>
      <c r="I54" s="5" t="str">
        <f>IFERROR(VLOOKUP($C54, merchants!$A$2:$D$41, 2, FALSE), "Merchant not found")</f>
        <v>Merchant_004</v>
      </c>
      <c r="J54" s="5" t="str">
        <f>IFERROR(VLOOKUP($C54, merchants!$A$2:$D$41, 3, FALSE), "Merchant not found")</f>
        <v>ecommerce</v>
      </c>
      <c r="K54" s="5" t="str">
        <f>IFERROR(VLOOKUP($C54, merchants!$A$2:$D$41, 4, FALSE), "Merchant not found")</f>
        <v>East</v>
      </c>
      <c r="Q54" s="5">
        <f t="shared" si="1"/>
        <v>0.3</v>
      </c>
      <c r="R54" s="6">
        <f t="shared" si="2"/>
        <v>46038</v>
      </c>
      <c r="S54" s="5">
        <f t="shared" si="3"/>
        <v>799</v>
      </c>
      <c r="T54" s="5" t="str">
        <f t="shared" si="4"/>
        <v>Normal</v>
      </c>
    </row>
    <row r="55">
      <c r="A55" s="2" t="s">
        <v>172</v>
      </c>
      <c r="B55" s="2">
        <v>334.0</v>
      </c>
      <c r="C55" s="2">
        <v>3.0</v>
      </c>
      <c r="D55" s="4">
        <v>46030.83611111111</v>
      </c>
      <c r="E55" s="2">
        <v>149.0</v>
      </c>
      <c r="F55" s="2" t="s">
        <v>13</v>
      </c>
      <c r="G55" s="2" t="s">
        <v>23</v>
      </c>
      <c r="H55" s="2">
        <v>96.0</v>
      </c>
      <c r="I55" s="5" t="str">
        <f>IFERROR(VLOOKUP($C55, merchants!$A$2:$D$41, 2, FALSE), "Merchant not found")</f>
        <v>Merchant_003</v>
      </c>
      <c r="J55" s="5" t="str">
        <f>IFERROR(VLOOKUP($C55, merchants!$A$2:$D$41, 3, FALSE), "Merchant not found")</f>
        <v>grocery</v>
      </c>
      <c r="K55" s="5" t="str">
        <f>IFERROR(VLOOKUP($C55, merchants!$A$2:$D$41, 4, FALSE), "Merchant not found")</f>
        <v>East</v>
      </c>
      <c r="Q55" s="5">
        <f t="shared" si="1"/>
        <v>0.5</v>
      </c>
      <c r="R55" s="6">
        <f t="shared" si="2"/>
        <v>46030</v>
      </c>
      <c r="S55" s="5">
        <f t="shared" si="3"/>
        <v>149</v>
      </c>
      <c r="T55" s="5" t="str">
        <f t="shared" si="4"/>
        <v>Normal</v>
      </c>
    </row>
    <row r="56">
      <c r="A56" s="2" t="s">
        <v>173</v>
      </c>
      <c r="B56" s="2">
        <v>11.0</v>
      </c>
      <c r="C56" s="2">
        <v>40.0</v>
      </c>
      <c r="D56" s="4">
        <v>46023.3</v>
      </c>
      <c r="E56" s="2">
        <v>299.0</v>
      </c>
      <c r="F56" s="2" t="s">
        <v>12</v>
      </c>
      <c r="G56" s="2" t="s">
        <v>23</v>
      </c>
      <c r="H56" s="2">
        <v>19.0</v>
      </c>
      <c r="I56" s="5" t="str">
        <f>IFERROR(VLOOKUP($C56, merchants!$A$2:$D$41, 2, FALSE), "Merchant not found")</f>
        <v>Merchant_040</v>
      </c>
      <c r="J56" s="5" t="str">
        <f>IFERROR(VLOOKUP($C56, merchants!$A$2:$D$41, 3, FALSE), "Merchant not found")</f>
        <v>entertainment</v>
      </c>
      <c r="K56" s="5" t="str">
        <f>IFERROR(VLOOKUP($C56, merchants!$A$2:$D$41, 4, FALSE), "Merchant not found")</f>
        <v>South</v>
      </c>
      <c r="Q56" s="5">
        <f t="shared" si="1"/>
        <v>0.3</v>
      </c>
      <c r="R56" s="6">
        <f t="shared" si="2"/>
        <v>46023</v>
      </c>
      <c r="S56" s="5">
        <f t="shared" si="3"/>
        <v>299</v>
      </c>
      <c r="T56" s="5" t="str">
        <f t="shared" si="4"/>
        <v>Normal</v>
      </c>
    </row>
    <row r="57">
      <c r="A57" s="2" t="s">
        <v>174</v>
      </c>
      <c r="B57" s="2">
        <v>343.0</v>
      </c>
      <c r="C57" s="2">
        <v>8.0</v>
      </c>
      <c r="D57" s="4">
        <v>46030.1875</v>
      </c>
      <c r="E57" s="2">
        <v>99.0</v>
      </c>
      <c r="F57" s="2" t="s">
        <v>12</v>
      </c>
      <c r="G57" s="2" t="s">
        <v>23</v>
      </c>
      <c r="H57" s="2">
        <v>72.0</v>
      </c>
      <c r="I57" s="5" t="str">
        <f>IFERROR(VLOOKUP($C57, merchants!$A$2:$D$41, 2, FALSE), "Merchant not found")</f>
        <v>Merchant_008</v>
      </c>
      <c r="J57" s="5" t="str">
        <f>IFERROR(VLOOKUP($C57, merchants!$A$2:$D$41, 3, FALSE), "Merchant not found")</f>
        <v>food_delivery</v>
      </c>
      <c r="K57" s="5" t="str">
        <f>IFERROR(VLOOKUP($C57, merchants!$A$2:$D$41, 4, FALSE), "Merchant not found")</f>
        <v>North</v>
      </c>
      <c r="Q57" s="5">
        <f t="shared" si="1"/>
        <v>0.3</v>
      </c>
      <c r="R57" s="6">
        <f t="shared" si="2"/>
        <v>46030</v>
      </c>
      <c r="S57" s="5">
        <f t="shared" si="3"/>
        <v>99</v>
      </c>
      <c r="T57" s="5" t="str">
        <f t="shared" si="4"/>
        <v>Normal</v>
      </c>
    </row>
    <row r="58">
      <c r="A58" s="2" t="s">
        <v>175</v>
      </c>
      <c r="B58" s="2">
        <v>132.0</v>
      </c>
      <c r="C58" s="2">
        <v>24.0</v>
      </c>
      <c r="D58" s="4">
        <v>46029.61388888889</v>
      </c>
      <c r="E58" s="2">
        <v>299.0</v>
      </c>
      <c r="F58" s="2" t="s">
        <v>13</v>
      </c>
      <c r="G58" s="2" t="s">
        <v>23</v>
      </c>
      <c r="H58" s="2">
        <v>21.0</v>
      </c>
      <c r="I58" s="5" t="str">
        <f>IFERROR(VLOOKUP($C58, merchants!$A$2:$D$41, 2, FALSE), "Merchant not found")</f>
        <v>Merchant_024</v>
      </c>
      <c r="J58" s="5" t="str">
        <f>IFERROR(VLOOKUP($C58, merchants!$A$2:$D$41, 3, FALSE), "Merchant not found")</f>
        <v>grocery</v>
      </c>
      <c r="K58" s="5" t="str">
        <f>IFERROR(VLOOKUP($C58, merchants!$A$2:$D$41, 4, FALSE), "Merchant not found")</f>
        <v>North</v>
      </c>
      <c r="Q58" s="5">
        <f t="shared" si="1"/>
        <v>0.5</v>
      </c>
      <c r="R58" s="6">
        <f t="shared" si="2"/>
        <v>46029</v>
      </c>
      <c r="S58" s="5">
        <f t="shared" si="3"/>
        <v>299</v>
      </c>
      <c r="T58" s="5" t="str">
        <f t="shared" si="4"/>
        <v>Normal</v>
      </c>
    </row>
    <row r="59">
      <c r="A59" s="2" t="s">
        <v>176</v>
      </c>
      <c r="B59" s="2">
        <v>59.0</v>
      </c>
      <c r="C59" s="2">
        <v>11.0</v>
      </c>
      <c r="D59" s="4">
        <v>46042.82430555556</v>
      </c>
      <c r="E59" s="2">
        <v>299.0</v>
      </c>
      <c r="F59" s="2" t="s">
        <v>12</v>
      </c>
      <c r="G59" s="2" t="s">
        <v>23</v>
      </c>
      <c r="H59" s="2">
        <v>39.0</v>
      </c>
      <c r="I59" s="5" t="str">
        <f>IFERROR(VLOOKUP($C59, merchants!$A$2:$D$41, 2, FALSE), "Merchant not found")</f>
        <v>Merchant_011</v>
      </c>
      <c r="J59" s="5" t="str">
        <f>IFERROR(VLOOKUP($C59, merchants!$A$2:$D$41, 3, FALSE), "Merchant not found")</f>
        <v>ecommerce</v>
      </c>
      <c r="K59" s="5" t="str">
        <f>IFERROR(VLOOKUP($C59, merchants!$A$2:$D$41, 4, FALSE), "Merchant not found")</f>
        <v>North</v>
      </c>
      <c r="Q59" s="5">
        <f t="shared" si="1"/>
        <v>0.3</v>
      </c>
      <c r="R59" s="6">
        <f t="shared" si="2"/>
        <v>46042</v>
      </c>
      <c r="S59" s="5">
        <f t="shared" si="3"/>
        <v>299</v>
      </c>
      <c r="T59" s="5" t="str">
        <f t="shared" si="4"/>
        <v>Normal</v>
      </c>
    </row>
    <row r="60">
      <c r="A60" s="2" t="s">
        <v>177</v>
      </c>
      <c r="B60" s="2">
        <v>160.0</v>
      </c>
      <c r="C60" s="2">
        <v>37.0</v>
      </c>
      <c r="D60" s="4">
        <v>46026.75069444445</v>
      </c>
      <c r="E60" s="2">
        <v>49.0</v>
      </c>
      <c r="F60" s="2" t="s">
        <v>13</v>
      </c>
      <c r="G60" s="2" t="s">
        <v>23</v>
      </c>
      <c r="H60" s="2">
        <v>86.0</v>
      </c>
      <c r="I60" s="5" t="str">
        <f>IFERROR(VLOOKUP($C60, merchants!$A$2:$D$41, 2, FALSE), "Merchant not found")</f>
        <v>Merchant_037</v>
      </c>
      <c r="J60" s="5" t="str">
        <f>IFERROR(VLOOKUP($C60, merchants!$A$2:$D$41, 3, FALSE), "Merchant not found")</f>
        <v>entertainment</v>
      </c>
      <c r="K60" s="5" t="str">
        <f>IFERROR(VLOOKUP($C60, merchants!$A$2:$D$41, 4, FALSE), "Merchant not found")</f>
        <v>South</v>
      </c>
      <c r="Q60" s="5">
        <f t="shared" si="1"/>
        <v>0.5</v>
      </c>
      <c r="R60" s="6">
        <f t="shared" si="2"/>
        <v>46026</v>
      </c>
      <c r="S60" s="5">
        <f t="shared" si="3"/>
        <v>49</v>
      </c>
      <c r="T60" s="5" t="str">
        <f t="shared" si="4"/>
        <v>Normal</v>
      </c>
    </row>
    <row r="61">
      <c r="A61" s="2" t="s">
        <v>178</v>
      </c>
      <c r="B61" s="2">
        <v>102.0</v>
      </c>
      <c r="C61" s="2">
        <v>5.0</v>
      </c>
      <c r="D61" s="4">
        <v>46052.51736111111</v>
      </c>
      <c r="E61" s="2">
        <v>2999.0</v>
      </c>
      <c r="F61" s="2" t="s">
        <v>12</v>
      </c>
      <c r="G61" s="2" t="s">
        <v>23</v>
      </c>
      <c r="H61" s="2">
        <v>75.0</v>
      </c>
      <c r="I61" s="5" t="str">
        <f>IFERROR(VLOOKUP($C61, merchants!$A$2:$D$41, 2, FALSE), "Merchant not found")</f>
        <v>Merchant_005</v>
      </c>
      <c r="J61" s="5" t="str">
        <f>IFERROR(VLOOKUP($C61, merchants!$A$2:$D$41, 3, FALSE), "Merchant not found")</f>
        <v>recharge</v>
      </c>
      <c r="K61" s="5" t="str">
        <f>IFERROR(VLOOKUP($C61, merchants!$A$2:$D$41, 4, FALSE), "Merchant not found")</f>
        <v>South</v>
      </c>
      <c r="Q61" s="5">
        <f t="shared" si="1"/>
        <v>0.3</v>
      </c>
      <c r="R61" s="6">
        <f t="shared" si="2"/>
        <v>46052</v>
      </c>
      <c r="S61" s="5">
        <f t="shared" si="3"/>
        <v>2999</v>
      </c>
      <c r="T61" s="5" t="str">
        <f t="shared" si="4"/>
        <v>Normal</v>
      </c>
    </row>
    <row r="62">
      <c r="A62" s="2" t="s">
        <v>179</v>
      </c>
      <c r="B62" s="2">
        <v>53.0</v>
      </c>
      <c r="C62" s="2">
        <v>20.0</v>
      </c>
      <c r="D62" s="4">
        <v>46045.84375</v>
      </c>
      <c r="E62" s="2">
        <v>49.0</v>
      </c>
      <c r="F62" s="2" t="s">
        <v>15</v>
      </c>
      <c r="G62" s="2" t="s">
        <v>23</v>
      </c>
      <c r="H62" s="2">
        <v>87.0</v>
      </c>
      <c r="I62" s="5" t="str">
        <f>IFERROR(VLOOKUP($C62, merchants!$A$2:$D$41, 2, FALSE), "Merchant not found")</f>
        <v>Merchant_020</v>
      </c>
      <c r="J62" s="5" t="str">
        <f>IFERROR(VLOOKUP($C62, merchants!$A$2:$D$41, 3, FALSE), "Merchant not found")</f>
        <v>food_delivery</v>
      </c>
      <c r="K62" s="5" t="str">
        <f>IFERROR(VLOOKUP($C62, merchants!$A$2:$D$41, 4, FALSE), "Merchant not found")</f>
        <v>East</v>
      </c>
      <c r="Q62" s="5">
        <f t="shared" si="1"/>
        <v>0.9</v>
      </c>
      <c r="R62" s="6">
        <f t="shared" si="2"/>
        <v>46045</v>
      </c>
      <c r="S62" s="5">
        <f t="shared" si="3"/>
        <v>49</v>
      </c>
      <c r="T62" s="5" t="str">
        <f t="shared" si="4"/>
        <v>Normal</v>
      </c>
    </row>
    <row r="63">
      <c r="A63" s="2" t="s">
        <v>180</v>
      </c>
      <c r="B63" s="2">
        <v>290.0</v>
      </c>
      <c r="C63" s="2">
        <v>3.0</v>
      </c>
      <c r="D63" s="4">
        <v>46042.15972222222</v>
      </c>
      <c r="E63" s="2">
        <v>99.0</v>
      </c>
      <c r="F63" s="2" t="s">
        <v>13</v>
      </c>
      <c r="G63" s="2" t="s">
        <v>23</v>
      </c>
      <c r="H63" s="2">
        <v>44.0</v>
      </c>
      <c r="I63" s="5" t="str">
        <f>IFERROR(VLOOKUP($C63, merchants!$A$2:$D$41, 2, FALSE), "Merchant not found")</f>
        <v>Merchant_003</v>
      </c>
      <c r="J63" s="5" t="str">
        <f>IFERROR(VLOOKUP($C63, merchants!$A$2:$D$41, 3, FALSE), "Merchant not found")</f>
        <v>grocery</v>
      </c>
      <c r="K63" s="5" t="str">
        <f>IFERROR(VLOOKUP($C63, merchants!$A$2:$D$41, 4, FALSE), "Merchant not found")</f>
        <v>East</v>
      </c>
      <c r="Q63" s="5">
        <f t="shared" si="1"/>
        <v>0.5</v>
      </c>
      <c r="R63" s="6">
        <f t="shared" si="2"/>
        <v>46042</v>
      </c>
      <c r="S63" s="5">
        <f t="shared" si="3"/>
        <v>99</v>
      </c>
      <c r="T63" s="5" t="str">
        <f t="shared" si="4"/>
        <v>Normal</v>
      </c>
    </row>
    <row r="64">
      <c r="A64" s="2" t="s">
        <v>181</v>
      </c>
      <c r="B64" s="2">
        <v>190.0</v>
      </c>
      <c r="C64" s="2">
        <v>5.0</v>
      </c>
      <c r="D64" s="4">
        <v>46040.57083333333</v>
      </c>
      <c r="E64" s="2">
        <v>299.0</v>
      </c>
      <c r="F64" s="2" t="s">
        <v>12</v>
      </c>
      <c r="G64" s="2" t="s">
        <v>23</v>
      </c>
      <c r="H64" s="2">
        <v>64.0</v>
      </c>
      <c r="I64" s="5" t="str">
        <f>IFERROR(VLOOKUP($C64, merchants!$A$2:$D$41, 2, FALSE), "Merchant not found")</f>
        <v>Merchant_005</v>
      </c>
      <c r="J64" s="5" t="str">
        <f>IFERROR(VLOOKUP($C64, merchants!$A$2:$D$41, 3, FALSE), "Merchant not found")</f>
        <v>recharge</v>
      </c>
      <c r="K64" s="5" t="str">
        <f>IFERROR(VLOOKUP($C64, merchants!$A$2:$D$41, 4, FALSE), "Merchant not found")</f>
        <v>South</v>
      </c>
      <c r="Q64" s="5">
        <f t="shared" si="1"/>
        <v>0.3</v>
      </c>
      <c r="R64" s="6">
        <f t="shared" si="2"/>
        <v>46040</v>
      </c>
      <c r="S64" s="5">
        <f t="shared" si="3"/>
        <v>299</v>
      </c>
      <c r="T64" s="5" t="str">
        <f t="shared" si="4"/>
        <v>Normal</v>
      </c>
    </row>
    <row r="65">
      <c r="A65" s="2" t="s">
        <v>182</v>
      </c>
      <c r="B65" s="2">
        <v>216.0</v>
      </c>
      <c r="C65" s="2">
        <v>32.0</v>
      </c>
      <c r="D65" s="4">
        <v>46043.416666666664</v>
      </c>
      <c r="E65" s="2">
        <v>49.0</v>
      </c>
      <c r="F65" s="2" t="s">
        <v>14</v>
      </c>
      <c r="G65" s="2" t="s">
        <v>23</v>
      </c>
      <c r="H65" s="2">
        <v>13.0</v>
      </c>
      <c r="I65" s="5" t="str">
        <f>IFERROR(VLOOKUP($C65, merchants!$A$2:$D$41, 2, FALSE), "Merchant not found")</f>
        <v>Merchant_032</v>
      </c>
      <c r="J65" s="5" t="str">
        <f>IFERROR(VLOOKUP($C65, merchants!$A$2:$D$41, 3, FALSE), "Merchant not found")</f>
        <v>food_delivery</v>
      </c>
      <c r="K65" s="5" t="str">
        <f>IFERROR(VLOOKUP($C65, merchants!$A$2:$D$41, 4, FALSE), "Merchant not found")</f>
        <v>West</v>
      </c>
      <c r="Q65" s="5">
        <f t="shared" si="1"/>
        <v>1.5</v>
      </c>
      <c r="R65" s="6">
        <f t="shared" si="2"/>
        <v>46043</v>
      </c>
      <c r="S65" s="5">
        <f t="shared" si="3"/>
        <v>348</v>
      </c>
      <c r="T65" s="5" t="str">
        <f t="shared" si="4"/>
        <v>Normal</v>
      </c>
    </row>
    <row r="66">
      <c r="A66" s="2" t="s">
        <v>183</v>
      </c>
      <c r="B66" s="2">
        <v>236.0</v>
      </c>
      <c r="C66" s="2">
        <v>10.0</v>
      </c>
      <c r="D66" s="4">
        <v>46036.48611111111</v>
      </c>
      <c r="E66" s="2">
        <v>499.0</v>
      </c>
      <c r="F66" s="2" t="s">
        <v>12</v>
      </c>
      <c r="G66" s="2" t="s">
        <v>23</v>
      </c>
      <c r="H66" s="2">
        <v>55.0</v>
      </c>
      <c r="I66" s="5" t="str">
        <f>IFERROR(VLOOKUP($C66, merchants!$A$2:$D$41, 2, FALSE), "Merchant not found")</f>
        <v>Merchant_010</v>
      </c>
      <c r="J66" s="5" t="str">
        <f>IFERROR(VLOOKUP($C66, merchants!$A$2:$D$41, 3, FALSE), "Merchant not found")</f>
        <v>grocery</v>
      </c>
      <c r="K66" s="5" t="str">
        <f>IFERROR(VLOOKUP($C66, merchants!$A$2:$D$41, 4, FALSE), "Merchant not found")</f>
        <v>West</v>
      </c>
      <c r="Q66" s="5">
        <f t="shared" si="1"/>
        <v>0.3</v>
      </c>
      <c r="R66" s="6">
        <f t="shared" si="2"/>
        <v>46036</v>
      </c>
      <c r="S66" s="5">
        <f t="shared" si="3"/>
        <v>499</v>
      </c>
      <c r="T66" s="5" t="str">
        <f t="shared" si="4"/>
        <v>Normal</v>
      </c>
    </row>
    <row r="67">
      <c r="A67" s="2" t="s">
        <v>184</v>
      </c>
      <c r="B67" s="2">
        <v>334.0</v>
      </c>
      <c r="C67" s="2">
        <v>18.0</v>
      </c>
      <c r="D67" s="4">
        <v>46028.98125</v>
      </c>
      <c r="E67" s="2">
        <v>499.0</v>
      </c>
      <c r="F67" s="2" t="s">
        <v>14</v>
      </c>
      <c r="G67" s="2" t="s">
        <v>23</v>
      </c>
      <c r="H67" s="2">
        <v>78.0</v>
      </c>
      <c r="I67" s="5" t="str">
        <f>IFERROR(VLOOKUP($C67, merchants!$A$2:$D$41, 2, FALSE), "Merchant not found")</f>
        <v>Merchant_018</v>
      </c>
      <c r="J67" s="5" t="str">
        <f>IFERROR(VLOOKUP($C67, merchants!$A$2:$D$41, 3, FALSE), "Merchant not found")</f>
        <v>grocery</v>
      </c>
      <c r="K67" s="5" t="str">
        <f>IFERROR(VLOOKUP($C67, merchants!$A$2:$D$41, 4, FALSE), "Merchant not found")</f>
        <v>West</v>
      </c>
      <c r="Q67" s="5">
        <f t="shared" si="1"/>
        <v>1.5</v>
      </c>
      <c r="R67" s="6">
        <f t="shared" si="2"/>
        <v>46028</v>
      </c>
      <c r="S67" s="5">
        <f t="shared" si="3"/>
        <v>499</v>
      </c>
      <c r="T67" s="5" t="str">
        <f t="shared" si="4"/>
        <v>Normal</v>
      </c>
    </row>
    <row r="68">
      <c r="A68" s="2" t="s">
        <v>185</v>
      </c>
      <c r="B68" s="2">
        <v>248.0</v>
      </c>
      <c r="C68" s="2">
        <v>30.0</v>
      </c>
      <c r="D68" s="4">
        <v>46048.74236111111</v>
      </c>
      <c r="E68" s="2">
        <v>799.0</v>
      </c>
      <c r="F68" s="2" t="s">
        <v>13</v>
      </c>
      <c r="G68" s="2" t="s">
        <v>23</v>
      </c>
      <c r="H68" s="2">
        <v>55.0</v>
      </c>
      <c r="I68" s="5" t="str">
        <f>IFERROR(VLOOKUP($C68, merchants!$A$2:$D$41, 2, FALSE), "Merchant not found")</f>
        <v>Merchant_030</v>
      </c>
      <c r="J68" s="5" t="str">
        <f>IFERROR(VLOOKUP($C68, merchants!$A$2:$D$41, 3, FALSE), "Merchant not found")</f>
        <v>travel</v>
      </c>
      <c r="K68" s="5" t="str">
        <f>IFERROR(VLOOKUP($C68, merchants!$A$2:$D$41, 4, FALSE), "Merchant not found")</f>
        <v>West</v>
      </c>
      <c r="Q68" s="5">
        <f t="shared" si="1"/>
        <v>0.5</v>
      </c>
      <c r="R68" s="6">
        <f t="shared" si="2"/>
        <v>46048</v>
      </c>
      <c r="S68" s="5">
        <f t="shared" si="3"/>
        <v>799</v>
      </c>
      <c r="T68" s="5" t="str">
        <f t="shared" si="4"/>
        <v>Normal</v>
      </c>
    </row>
    <row r="69">
      <c r="A69" s="2" t="s">
        <v>186</v>
      </c>
      <c r="B69" s="2">
        <v>138.0</v>
      </c>
      <c r="C69" s="2">
        <v>21.0</v>
      </c>
      <c r="D69" s="4">
        <v>46049.98402777778</v>
      </c>
      <c r="E69" s="2">
        <v>49.0</v>
      </c>
      <c r="F69" s="2" t="s">
        <v>14</v>
      </c>
      <c r="G69" s="2" t="s">
        <v>23</v>
      </c>
      <c r="H69" s="2">
        <v>31.0</v>
      </c>
      <c r="I69" s="5" t="str">
        <f>IFERROR(VLOOKUP($C69, merchants!$A$2:$D$41, 2, FALSE), "Merchant not found")</f>
        <v>Merchant_021</v>
      </c>
      <c r="J69" s="5" t="str">
        <f>IFERROR(VLOOKUP($C69, merchants!$A$2:$D$41, 3, FALSE), "Merchant not found")</f>
        <v>food_delivery</v>
      </c>
      <c r="K69" s="5" t="str">
        <f>IFERROR(VLOOKUP($C69, merchants!$A$2:$D$41, 4, FALSE), "Merchant not found")</f>
        <v>East</v>
      </c>
      <c r="Q69" s="5">
        <f t="shared" si="1"/>
        <v>1.5</v>
      </c>
      <c r="R69" s="6">
        <f t="shared" si="2"/>
        <v>46049</v>
      </c>
      <c r="S69" s="5">
        <f t="shared" si="3"/>
        <v>49</v>
      </c>
      <c r="T69" s="5" t="str">
        <f t="shared" si="4"/>
        <v>Normal</v>
      </c>
    </row>
    <row r="70">
      <c r="A70" s="2" t="s">
        <v>187</v>
      </c>
      <c r="B70" s="2">
        <v>231.0</v>
      </c>
      <c r="C70" s="2">
        <v>16.0</v>
      </c>
      <c r="D70" s="4">
        <v>46049.095138888886</v>
      </c>
      <c r="E70" s="2">
        <v>49.0</v>
      </c>
      <c r="F70" s="2" t="s">
        <v>12</v>
      </c>
      <c r="G70" s="2" t="s">
        <v>23</v>
      </c>
      <c r="H70" s="2">
        <v>96.0</v>
      </c>
      <c r="I70" s="5" t="str">
        <f>IFERROR(VLOOKUP($C70, merchants!$A$2:$D$41, 2, FALSE), "Merchant not found")</f>
        <v>Merchant_016</v>
      </c>
      <c r="J70" s="5" t="str">
        <f>IFERROR(VLOOKUP($C70, merchants!$A$2:$D$41, 3, FALSE), "Merchant not found")</f>
        <v>bill_payment</v>
      </c>
      <c r="K70" s="5" t="str">
        <f>IFERROR(VLOOKUP($C70, merchants!$A$2:$D$41, 4, FALSE), "Merchant not found")</f>
        <v>West</v>
      </c>
      <c r="Q70" s="5">
        <f t="shared" si="1"/>
        <v>0.3</v>
      </c>
      <c r="R70" s="6">
        <f t="shared" si="2"/>
        <v>46049</v>
      </c>
      <c r="S70" s="5">
        <f t="shared" si="3"/>
        <v>348</v>
      </c>
      <c r="T70" s="5" t="str">
        <f t="shared" si="4"/>
        <v>Normal</v>
      </c>
    </row>
    <row r="71">
      <c r="A71" s="2" t="s">
        <v>188</v>
      </c>
      <c r="B71" s="2">
        <v>343.0</v>
      </c>
      <c r="C71" s="2">
        <v>25.0</v>
      </c>
      <c r="D71" s="4">
        <v>46037.777083333334</v>
      </c>
      <c r="E71" s="2">
        <v>49.0</v>
      </c>
      <c r="F71" s="2" t="s">
        <v>12</v>
      </c>
      <c r="G71" s="2" t="s">
        <v>23</v>
      </c>
      <c r="H71" s="2">
        <v>43.0</v>
      </c>
      <c r="I71" s="5" t="str">
        <f>IFERROR(VLOOKUP($C71, merchants!$A$2:$D$41, 2, FALSE), "Merchant not found")</f>
        <v>Merchant_025</v>
      </c>
      <c r="J71" s="5" t="str">
        <f>IFERROR(VLOOKUP($C71, merchants!$A$2:$D$41, 3, FALSE), "Merchant not found")</f>
        <v>travel</v>
      </c>
      <c r="K71" s="5" t="str">
        <f>IFERROR(VLOOKUP($C71, merchants!$A$2:$D$41, 4, FALSE), "Merchant not found")</f>
        <v>South</v>
      </c>
      <c r="Q71" s="5">
        <f t="shared" si="1"/>
        <v>0.3</v>
      </c>
      <c r="R71" s="6">
        <f t="shared" si="2"/>
        <v>46037</v>
      </c>
      <c r="S71" s="5">
        <f t="shared" si="3"/>
        <v>49</v>
      </c>
      <c r="T71" s="5" t="str">
        <f t="shared" si="4"/>
        <v>Normal</v>
      </c>
    </row>
    <row r="72">
      <c r="A72" s="2" t="s">
        <v>189</v>
      </c>
      <c r="B72" s="2">
        <v>167.0</v>
      </c>
      <c r="C72" s="2">
        <v>12.0</v>
      </c>
      <c r="D72" s="4">
        <v>46023.6625</v>
      </c>
      <c r="E72" s="2">
        <v>499.0</v>
      </c>
      <c r="F72" s="2" t="s">
        <v>13</v>
      </c>
      <c r="G72" s="2" t="s">
        <v>23</v>
      </c>
      <c r="H72" s="2">
        <v>62.0</v>
      </c>
      <c r="I72" s="5" t="str">
        <f>IFERROR(VLOOKUP($C72, merchants!$A$2:$D$41, 2, FALSE), "Merchant not found")</f>
        <v>Merchant_012</v>
      </c>
      <c r="J72" s="5" t="str">
        <f>IFERROR(VLOOKUP($C72, merchants!$A$2:$D$41, 3, FALSE), "Merchant not found")</f>
        <v>ecommerce</v>
      </c>
      <c r="K72" s="5" t="str">
        <f>IFERROR(VLOOKUP($C72, merchants!$A$2:$D$41, 4, FALSE), "Merchant not found")</f>
        <v>East</v>
      </c>
      <c r="Q72" s="5">
        <f t="shared" si="1"/>
        <v>0.5</v>
      </c>
      <c r="R72" s="6">
        <f t="shared" si="2"/>
        <v>46023</v>
      </c>
      <c r="S72" s="5">
        <f t="shared" si="3"/>
        <v>548</v>
      </c>
      <c r="T72" s="5" t="str">
        <f t="shared" si="4"/>
        <v>Normal</v>
      </c>
    </row>
    <row r="73">
      <c r="A73" s="2" t="s">
        <v>190</v>
      </c>
      <c r="B73" s="2">
        <v>133.0</v>
      </c>
      <c r="C73" s="2">
        <v>22.0</v>
      </c>
      <c r="D73" s="4">
        <v>46029.49375</v>
      </c>
      <c r="E73" s="2">
        <v>499.0</v>
      </c>
      <c r="F73" s="2" t="s">
        <v>12</v>
      </c>
      <c r="G73" s="2" t="s">
        <v>23</v>
      </c>
      <c r="H73" s="2">
        <v>35.0</v>
      </c>
      <c r="I73" s="5" t="str">
        <f>IFERROR(VLOOKUP($C73, merchants!$A$2:$D$41, 2, FALSE), "Merchant not found")</f>
        <v>Merchant_022</v>
      </c>
      <c r="J73" s="5" t="str">
        <f>IFERROR(VLOOKUP($C73, merchants!$A$2:$D$41, 3, FALSE), "Merchant not found")</f>
        <v>travel</v>
      </c>
      <c r="K73" s="5" t="str">
        <f>IFERROR(VLOOKUP($C73, merchants!$A$2:$D$41, 4, FALSE), "Merchant not found")</f>
        <v>South</v>
      </c>
      <c r="Q73" s="5">
        <f t="shared" si="1"/>
        <v>0.3</v>
      </c>
      <c r="R73" s="6">
        <f t="shared" si="2"/>
        <v>46029</v>
      </c>
      <c r="S73" s="5">
        <f t="shared" si="3"/>
        <v>499</v>
      </c>
      <c r="T73" s="5" t="str">
        <f t="shared" si="4"/>
        <v>Normal</v>
      </c>
    </row>
    <row r="74">
      <c r="A74" s="2" t="s">
        <v>191</v>
      </c>
      <c r="B74" s="2">
        <v>142.0</v>
      </c>
      <c r="C74" s="2">
        <v>36.0</v>
      </c>
      <c r="D74" s="4">
        <v>46051.822222222225</v>
      </c>
      <c r="E74" s="2">
        <v>799.0</v>
      </c>
      <c r="F74" s="2" t="s">
        <v>13</v>
      </c>
      <c r="G74" s="2" t="s">
        <v>23</v>
      </c>
      <c r="H74" s="2">
        <v>1.0</v>
      </c>
      <c r="I74" s="5" t="str">
        <f>IFERROR(VLOOKUP($C74, merchants!$A$2:$D$41, 2, FALSE), "Merchant not found")</f>
        <v>Merchant_036</v>
      </c>
      <c r="J74" s="5" t="str">
        <f>IFERROR(VLOOKUP($C74, merchants!$A$2:$D$41, 3, FALSE), "Merchant not found")</f>
        <v>entertainment</v>
      </c>
      <c r="K74" s="5" t="str">
        <f>IFERROR(VLOOKUP($C74, merchants!$A$2:$D$41, 4, FALSE), "Merchant not found")</f>
        <v>East</v>
      </c>
      <c r="Q74" s="5">
        <f t="shared" si="1"/>
        <v>0.5</v>
      </c>
      <c r="R74" s="6">
        <f t="shared" si="2"/>
        <v>46051</v>
      </c>
      <c r="S74" s="5">
        <f t="shared" si="3"/>
        <v>799</v>
      </c>
      <c r="T74" s="5" t="str">
        <f t="shared" si="4"/>
        <v>Normal</v>
      </c>
    </row>
    <row r="75">
      <c r="A75" s="2" t="s">
        <v>192</v>
      </c>
      <c r="B75" s="2">
        <v>124.0</v>
      </c>
      <c r="C75" s="2">
        <v>27.0</v>
      </c>
      <c r="D75" s="4">
        <v>46039.25347222222</v>
      </c>
      <c r="E75" s="2">
        <v>499.0</v>
      </c>
      <c r="F75" s="2" t="s">
        <v>13</v>
      </c>
      <c r="G75" s="2" t="s">
        <v>23</v>
      </c>
      <c r="H75" s="2">
        <v>62.0</v>
      </c>
      <c r="I75" s="5" t="str">
        <f>IFERROR(VLOOKUP($C75, merchants!$A$2:$D$41, 2, FALSE), "Merchant not found")</f>
        <v>Merchant_027</v>
      </c>
      <c r="J75" s="5" t="str">
        <f>IFERROR(VLOOKUP($C75, merchants!$A$2:$D$41, 3, FALSE), "Merchant not found")</f>
        <v>ecommerce</v>
      </c>
      <c r="K75" s="5" t="str">
        <f>IFERROR(VLOOKUP($C75, merchants!$A$2:$D$41, 4, FALSE), "Merchant not found")</f>
        <v>North</v>
      </c>
      <c r="Q75" s="5">
        <f t="shared" si="1"/>
        <v>0.5</v>
      </c>
      <c r="R75" s="6">
        <f t="shared" si="2"/>
        <v>46039</v>
      </c>
      <c r="S75" s="5">
        <f t="shared" si="3"/>
        <v>1597</v>
      </c>
      <c r="T75" s="5" t="str">
        <f t="shared" si="4"/>
        <v>Normal</v>
      </c>
    </row>
    <row r="76">
      <c r="A76" s="2" t="s">
        <v>193</v>
      </c>
      <c r="B76" s="2">
        <v>244.0</v>
      </c>
      <c r="C76" s="2">
        <v>32.0</v>
      </c>
      <c r="D76" s="4">
        <v>46040.322222222225</v>
      </c>
      <c r="E76" s="2">
        <v>149.0</v>
      </c>
      <c r="F76" s="2" t="s">
        <v>12</v>
      </c>
      <c r="G76" s="2" t="s">
        <v>23</v>
      </c>
      <c r="H76" s="2">
        <v>57.0</v>
      </c>
      <c r="I76" s="5" t="str">
        <f>IFERROR(VLOOKUP($C76, merchants!$A$2:$D$41, 2, FALSE), "Merchant not found")</f>
        <v>Merchant_032</v>
      </c>
      <c r="J76" s="5" t="str">
        <f>IFERROR(VLOOKUP($C76, merchants!$A$2:$D$41, 3, FALSE), "Merchant not found")</f>
        <v>food_delivery</v>
      </c>
      <c r="K76" s="5" t="str">
        <f>IFERROR(VLOOKUP($C76, merchants!$A$2:$D$41, 4, FALSE), "Merchant not found")</f>
        <v>West</v>
      </c>
      <c r="Q76" s="5">
        <f t="shared" si="1"/>
        <v>0.3</v>
      </c>
      <c r="R76" s="6">
        <f t="shared" si="2"/>
        <v>46040</v>
      </c>
      <c r="S76" s="5">
        <f t="shared" si="3"/>
        <v>149</v>
      </c>
      <c r="T76" s="5" t="str">
        <f t="shared" si="4"/>
        <v>Normal</v>
      </c>
    </row>
    <row r="77">
      <c r="A77" s="2" t="s">
        <v>194</v>
      </c>
      <c r="B77" s="2">
        <v>151.0</v>
      </c>
      <c r="C77" s="2">
        <v>15.0</v>
      </c>
      <c r="D77" s="4">
        <v>46048.00347222222</v>
      </c>
      <c r="E77" s="2">
        <v>4999.0</v>
      </c>
      <c r="F77" s="2" t="s">
        <v>12</v>
      </c>
      <c r="G77" s="2" t="s">
        <v>23</v>
      </c>
      <c r="H77" s="2">
        <v>51.0</v>
      </c>
      <c r="I77" s="5" t="str">
        <f>IFERROR(VLOOKUP($C77, merchants!$A$2:$D$41, 2, FALSE), "Merchant not found")</f>
        <v>Merchant_015</v>
      </c>
      <c r="J77" s="5" t="str">
        <f>IFERROR(VLOOKUP($C77, merchants!$A$2:$D$41, 3, FALSE), "Merchant not found")</f>
        <v>travel</v>
      </c>
      <c r="K77" s="5" t="str">
        <f>IFERROR(VLOOKUP($C77, merchants!$A$2:$D$41, 4, FALSE), "Merchant not found")</f>
        <v>North</v>
      </c>
      <c r="Q77" s="5">
        <f t="shared" si="1"/>
        <v>0.3</v>
      </c>
      <c r="R77" s="6">
        <f t="shared" si="2"/>
        <v>46048</v>
      </c>
      <c r="S77" s="5">
        <f t="shared" si="3"/>
        <v>4999</v>
      </c>
      <c r="T77" s="5" t="str">
        <f t="shared" si="4"/>
        <v>Normal</v>
      </c>
    </row>
    <row r="78">
      <c r="A78" s="2" t="s">
        <v>195</v>
      </c>
      <c r="B78" s="2">
        <v>340.0</v>
      </c>
      <c r="C78" s="2">
        <v>38.0</v>
      </c>
      <c r="D78" s="4">
        <v>46045.30486111111</v>
      </c>
      <c r="E78" s="2">
        <v>499.0</v>
      </c>
      <c r="F78" s="2" t="s">
        <v>14</v>
      </c>
      <c r="G78" s="2" t="s">
        <v>23</v>
      </c>
      <c r="H78" s="2">
        <v>47.0</v>
      </c>
      <c r="I78" s="5" t="str">
        <f>IFERROR(VLOOKUP($C78, merchants!$A$2:$D$41, 2, FALSE), "Merchant not found")</f>
        <v>Merchant_038</v>
      </c>
      <c r="J78" s="5" t="str">
        <f>IFERROR(VLOOKUP($C78, merchants!$A$2:$D$41, 3, FALSE), "Merchant not found")</f>
        <v>grocery</v>
      </c>
      <c r="K78" s="5" t="str">
        <f>IFERROR(VLOOKUP($C78, merchants!$A$2:$D$41, 4, FALSE), "Merchant not found")</f>
        <v>East</v>
      </c>
      <c r="Q78" s="5">
        <f t="shared" si="1"/>
        <v>1.5</v>
      </c>
      <c r="R78" s="6">
        <f t="shared" si="2"/>
        <v>46045</v>
      </c>
      <c r="S78" s="5">
        <f t="shared" si="3"/>
        <v>499</v>
      </c>
      <c r="T78" s="5" t="str">
        <f t="shared" si="4"/>
        <v>Normal</v>
      </c>
    </row>
    <row r="79">
      <c r="A79" s="2" t="s">
        <v>196</v>
      </c>
      <c r="B79" s="2">
        <v>177.0</v>
      </c>
      <c r="C79" s="2">
        <v>28.0</v>
      </c>
      <c r="D79" s="4">
        <v>46038.73125</v>
      </c>
      <c r="E79" s="2">
        <v>299.0</v>
      </c>
      <c r="F79" s="2" t="s">
        <v>12</v>
      </c>
      <c r="G79" s="2" t="s">
        <v>23</v>
      </c>
      <c r="H79" s="2">
        <v>95.0</v>
      </c>
      <c r="I79" s="5" t="str">
        <f>IFERROR(VLOOKUP($C79, merchants!$A$2:$D$41, 2, FALSE), "Merchant not found")</f>
        <v>Merchant_028</v>
      </c>
      <c r="J79" s="5" t="str">
        <f>IFERROR(VLOOKUP($C79, merchants!$A$2:$D$41, 3, FALSE), "Merchant not found")</f>
        <v>ecommerce</v>
      </c>
      <c r="K79" s="5" t="str">
        <f>IFERROR(VLOOKUP($C79, merchants!$A$2:$D$41, 4, FALSE), "Merchant not found")</f>
        <v>South</v>
      </c>
      <c r="Q79" s="5">
        <f t="shared" si="1"/>
        <v>0.3</v>
      </c>
      <c r="R79" s="6">
        <f t="shared" si="2"/>
        <v>46038</v>
      </c>
      <c r="S79" s="5">
        <f t="shared" si="3"/>
        <v>299</v>
      </c>
      <c r="T79" s="5" t="str">
        <f t="shared" si="4"/>
        <v>Normal</v>
      </c>
    </row>
    <row r="80">
      <c r="A80" s="2" t="s">
        <v>197</v>
      </c>
      <c r="B80" s="2">
        <v>233.0</v>
      </c>
      <c r="C80" s="2">
        <v>18.0</v>
      </c>
      <c r="D80" s="4">
        <v>46040.43194444444</v>
      </c>
      <c r="E80" s="2">
        <v>499.0</v>
      </c>
      <c r="F80" s="2" t="s">
        <v>12</v>
      </c>
      <c r="G80" s="2" t="s">
        <v>23</v>
      </c>
      <c r="H80" s="2">
        <v>39.0</v>
      </c>
      <c r="I80" s="5" t="str">
        <f>IFERROR(VLOOKUP($C80, merchants!$A$2:$D$41, 2, FALSE), "Merchant not found")</f>
        <v>Merchant_018</v>
      </c>
      <c r="J80" s="5" t="str">
        <f>IFERROR(VLOOKUP($C80, merchants!$A$2:$D$41, 3, FALSE), "Merchant not found")</f>
        <v>grocery</v>
      </c>
      <c r="K80" s="5" t="str">
        <f>IFERROR(VLOOKUP($C80, merchants!$A$2:$D$41, 4, FALSE), "Merchant not found")</f>
        <v>West</v>
      </c>
      <c r="Q80" s="5">
        <f t="shared" si="1"/>
        <v>0.3</v>
      </c>
      <c r="R80" s="6">
        <f t="shared" si="2"/>
        <v>46040</v>
      </c>
      <c r="S80" s="5">
        <f t="shared" si="3"/>
        <v>499</v>
      </c>
      <c r="T80" s="5" t="str">
        <f t="shared" si="4"/>
        <v>Normal</v>
      </c>
    </row>
    <row r="81">
      <c r="A81" s="2" t="s">
        <v>198</v>
      </c>
      <c r="B81" s="2">
        <v>99.0</v>
      </c>
      <c r="C81" s="2">
        <v>21.0</v>
      </c>
      <c r="D81" s="4">
        <v>46031.29652777778</v>
      </c>
      <c r="E81" s="2">
        <v>499.0</v>
      </c>
      <c r="F81" s="2" t="s">
        <v>12</v>
      </c>
      <c r="G81" s="2" t="s">
        <v>23</v>
      </c>
      <c r="H81" s="2">
        <v>15.0</v>
      </c>
      <c r="I81" s="5" t="str">
        <f>IFERROR(VLOOKUP($C81, merchants!$A$2:$D$41, 2, FALSE), "Merchant not found")</f>
        <v>Merchant_021</v>
      </c>
      <c r="J81" s="5" t="str">
        <f>IFERROR(VLOOKUP($C81, merchants!$A$2:$D$41, 3, FALSE), "Merchant not found")</f>
        <v>food_delivery</v>
      </c>
      <c r="K81" s="5" t="str">
        <f>IFERROR(VLOOKUP($C81, merchants!$A$2:$D$41, 4, FALSE), "Merchant not found")</f>
        <v>East</v>
      </c>
      <c r="Q81" s="5">
        <f t="shared" si="1"/>
        <v>0.3</v>
      </c>
      <c r="R81" s="6">
        <f t="shared" si="2"/>
        <v>46031</v>
      </c>
      <c r="S81" s="5">
        <f t="shared" si="3"/>
        <v>499</v>
      </c>
      <c r="T81" s="5" t="str">
        <f t="shared" si="4"/>
        <v>Normal</v>
      </c>
    </row>
    <row r="82">
      <c r="A82" s="2" t="s">
        <v>199</v>
      </c>
      <c r="B82" s="2">
        <v>95.0</v>
      </c>
      <c r="C82" s="2">
        <v>13.0</v>
      </c>
      <c r="D82" s="4">
        <v>46046.74166666667</v>
      </c>
      <c r="E82" s="2">
        <v>2999.0</v>
      </c>
      <c r="F82" s="2" t="s">
        <v>15</v>
      </c>
      <c r="G82" s="2" t="s">
        <v>61</v>
      </c>
      <c r="H82" s="2">
        <v>27.0</v>
      </c>
      <c r="I82" s="5" t="str">
        <f>IFERROR(VLOOKUP($C82, merchants!$A$2:$D$41, 2, FALSE), "Merchant not found")</f>
        <v>Merchant_013</v>
      </c>
      <c r="J82" s="5" t="str">
        <f>IFERROR(VLOOKUP($C82, merchants!$A$2:$D$41, 3, FALSE), "Merchant not found")</f>
        <v>travel</v>
      </c>
      <c r="K82" s="5" t="str">
        <f>IFERROR(VLOOKUP($C82, merchants!$A$2:$D$41, 4, FALSE), "Merchant not found")</f>
        <v>East</v>
      </c>
      <c r="Q82" s="5">
        <f t="shared" si="1"/>
        <v>0.9</v>
      </c>
      <c r="R82" s="6">
        <f t="shared" si="2"/>
        <v>46046</v>
      </c>
      <c r="S82" s="5">
        <f t="shared" si="3"/>
        <v>2999</v>
      </c>
      <c r="T82" s="5" t="str">
        <f t="shared" si="4"/>
        <v>Normal</v>
      </c>
    </row>
    <row r="83">
      <c r="A83" s="2" t="s">
        <v>200</v>
      </c>
      <c r="B83" s="2">
        <v>302.0</v>
      </c>
      <c r="C83" s="2">
        <v>34.0</v>
      </c>
      <c r="D83" s="4">
        <v>46046.63680555556</v>
      </c>
      <c r="E83" s="2">
        <v>49.0</v>
      </c>
      <c r="F83" s="2" t="s">
        <v>15</v>
      </c>
      <c r="G83" s="2" t="s">
        <v>23</v>
      </c>
      <c r="H83" s="2">
        <v>76.0</v>
      </c>
      <c r="I83" s="5" t="str">
        <f>IFERROR(VLOOKUP($C83, merchants!$A$2:$D$41, 2, FALSE), "Merchant not found")</f>
        <v>Merchant_034</v>
      </c>
      <c r="J83" s="5" t="str">
        <f>IFERROR(VLOOKUP($C83, merchants!$A$2:$D$41, 3, FALSE), "Merchant not found")</f>
        <v>travel</v>
      </c>
      <c r="K83" s="5" t="str">
        <f>IFERROR(VLOOKUP($C83, merchants!$A$2:$D$41, 4, FALSE), "Merchant not found")</f>
        <v>South</v>
      </c>
      <c r="Q83" s="5">
        <f t="shared" si="1"/>
        <v>0.9</v>
      </c>
      <c r="R83" s="6">
        <f t="shared" si="2"/>
        <v>46046</v>
      </c>
      <c r="S83" s="5">
        <f t="shared" si="3"/>
        <v>548</v>
      </c>
      <c r="T83" s="5" t="str">
        <f t="shared" si="4"/>
        <v>Normal</v>
      </c>
    </row>
    <row r="84">
      <c r="A84" s="2" t="s">
        <v>201</v>
      </c>
      <c r="B84" s="2">
        <v>100.0</v>
      </c>
      <c r="C84" s="2">
        <v>19.0</v>
      </c>
      <c r="D84" s="4">
        <v>46032.16180555556</v>
      </c>
      <c r="E84" s="2">
        <v>2999.0</v>
      </c>
      <c r="F84" s="2" t="s">
        <v>15</v>
      </c>
      <c r="G84" s="2" t="s">
        <v>23</v>
      </c>
      <c r="H84" s="2">
        <v>29.0</v>
      </c>
      <c r="I84" s="5" t="str">
        <f>IFERROR(VLOOKUP($C84, merchants!$A$2:$D$41, 2, FALSE), "Merchant not found")</f>
        <v>Merchant_019</v>
      </c>
      <c r="J84" s="5" t="str">
        <f>IFERROR(VLOOKUP($C84, merchants!$A$2:$D$41, 3, FALSE), "Merchant not found")</f>
        <v>grocery</v>
      </c>
      <c r="K84" s="5" t="str">
        <f>IFERROR(VLOOKUP($C84, merchants!$A$2:$D$41, 4, FALSE), "Merchant not found")</f>
        <v>North</v>
      </c>
      <c r="Q84" s="5">
        <f t="shared" si="1"/>
        <v>0.9</v>
      </c>
      <c r="R84" s="6">
        <f t="shared" si="2"/>
        <v>46032</v>
      </c>
      <c r="S84" s="5">
        <f t="shared" si="3"/>
        <v>2999</v>
      </c>
      <c r="T84" s="5" t="str">
        <f t="shared" si="4"/>
        <v>Normal</v>
      </c>
    </row>
    <row r="85">
      <c r="A85" s="2" t="s">
        <v>202</v>
      </c>
      <c r="B85" s="2">
        <v>8.0</v>
      </c>
      <c r="C85" s="2">
        <v>35.0</v>
      </c>
      <c r="D85" s="4">
        <v>46034.22152777778</v>
      </c>
      <c r="E85" s="2">
        <v>99.0</v>
      </c>
      <c r="F85" s="2" t="s">
        <v>12</v>
      </c>
      <c r="G85" s="2" t="s">
        <v>23</v>
      </c>
      <c r="H85" s="2">
        <v>16.0</v>
      </c>
      <c r="I85" s="5" t="str">
        <f>IFERROR(VLOOKUP($C85, merchants!$A$2:$D$41, 2, FALSE), "Merchant not found")</f>
        <v>Merchant_035</v>
      </c>
      <c r="J85" s="5" t="str">
        <f>IFERROR(VLOOKUP($C85, merchants!$A$2:$D$41, 3, FALSE), "Merchant not found")</f>
        <v>recharge</v>
      </c>
      <c r="K85" s="5" t="str">
        <f>IFERROR(VLOOKUP($C85, merchants!$A$2:$D$41, 4, FALSE), "Merchant not found")</f>
        <v>East</v>
      </c>
      <c r="Q85" s="5">
        <f t="shared" si="1"/>
        <v>0.3</v>
      </c>
      <c r="R85" s="6">
        <f t="shared" si="2"/>
        <v>46034</v>
      </c>
      <c r="S85" s="5">
        <f t="shared" si="3"/>
        <v>99</v>
      </c>
      <c r="T85" s="5" t="str">
        <f t="shared" si="4"/>
        <v>Normal</v>
      </c>
    </row>
    <row r="86">
      <c r="A86" s="2" t="s">
        <v>203</v>
      </c>
      <c r="B86" s="2">
        <v>284.0</v>
      </c>
      <c r="C86" s="2">
        <v>19.0</v>
      </c>
      <c r="D86" s="4">
        <v>46031.04375</v>
      </c>
      <c r="E86" s="2">
        <v>99.0</v>
      </c>
      <c r="F86" s="2" t="s">
        <v>12</v>
      </c>
      <c r="G86" s="2" t="s">
        <v>23</v>
      </c>
      <c r="H86" s="2">
        <v>89.0</v>
      </c>
      <c r="I86" s="5" t="str">
        <f>IFERROR(VLOOKUP($C86, merchants!$A$2:$D$41, 2, FALSE), "Merchant not found")</f>
        <v>Merchant_019</v>
      </c>
      <c r="J86" s="5" t="str">
        <f>IFERROR(VLOOKUP($C86, merchants!$A$2:$D$41, 3, FALSE), "Merchant not found")</f>
        <v>grocery</v>
      </c>
      <c r="K86" s="5" t="str">
        <f>IFERROR(VLOOKUP($C86, merchants!$A$2:$D$41, 4, FALSE), "Merchant not found")</f>
        <v>North</v>
      </c>
      <c r="Q86" s="5">
        <f t="shared" si="1"/>
        <v>0.3</v>
      </c>
      <c r="R86" s="6">
        <f t="shared" si="2"/>
        <v>46031</v>
      </c>
      <c r="S86" s="5">
        <f t="shared" si="3"/>
        <v>99</v>
      </c>
      <c r="T86" s="5" t="str">
        <f t="shared" si="4"/>
        <v>Normal</v>
      </c>
    </row>
    <row r="87">
      <c r="A87" s="2" t="s">
        <v>204</v>
      </c>
      <c r="B87" s="2">
        <v>252.0</v>
      </c>
      <c r="C87" s="2">
        <v>7.0</v>
      </c>
      <c r="D87" s="4">
        <v>46027.87152777778</v>
      </c>
      <c r="E87" s="2">
        <v>2999.0</v>
      </c>
      <c r="F87" s="2" t="s">
        <v>13</v>
      </c>
      <c r="G87" s="2" t="s">
        <v>23</v>
      </c>
      <c r="H87" s="2">
        <v>1.0</v>
      </c>
      <c r="I87" s="5" t="str">
        <f>IFERROR(VLOOKUP($C87, merchants!$A$2:$D$41, 2, FALSE), "Merchant not found")</f>
        <v>Merchant_007</v>
      </c>
      <c r="J87" s="5" t="str">
        <f>IFERROR(VLOOKUP($C87, merchants!$A$2:$D$41, 3, FALSE), "Merchant not found")</f>
        <v>food_delivery</v>
      </c>
      <c r="K87" s="5" t="str">
        <f>IFERROR(VLOOKUP($C87, merchants!$A$2:$D$41, 4, FALSE), "Merchant not found")</f>
        <v>East</v>
      </c>
      <c r="Q87" s="5">
        <f t="shared" si="1"/>
        <v>0.5</v>
      </c>
      <c r="R87" s="6">
        <f t="shared" si="2"/>
        <v>46027</v>
      </c>
      <c r="S87" s="5">
        <f t="shared" si="3"/>
        <v>4498</v>
      </c>
      <c r="T87" s="5" t="str">
        <f t="shared" si="4"/>
        <v>Normal</v>
      </c>
    </row>
    <row r="88">
      <c r="A88" s="2" t="s">
        <v>205</v>
      </c>
      <c r="B88" s="2">
        <v>246.0</v>
      </c>
      <c r="C88" s="2">
        <v>29.0</v>
      </c>
      <c r="D88" s="4">
        <v>46041.395833333336</v>
      </c>
      <c r="E88" s="2">
        <v>49.0</v>
      </c>
      <c r="F88" s="2" t="s">
        <v>13</v>
      </c>
      <c r="G88" s="2" t="s">
        <v>23</v>
      </c>
      <c r="H88" s="2">
        <v>43.0</v>
      </c>
      <c r="I88" s="5" t="str">
        <f>IFERROR(VLOOKUP($C88, merchants!$A$2:$D$41, 2, FALSE), "Merchant not found")</f>
        <v>Merchant_029</v>
      </c>
      <c r="J88" s="5" t="str">
        <f>IFERROR(VLOOKUP($C88, merchants!$A$2:$D$41, 3, FALSE), "Merchant not found")</f>
        <v>ecommerce</v>
      </c>
      <c r="K88" s="5" t="str">
        <f>IFERROR(VLOOKUP($C88, merchants!$A$2:$D$41, 4, FALSE), "Merchant not found")</f>
        <v>North</v>
      </c>
      <c r="Q88" s="5">
        <f t="shared" si="1"/>
        <v>0.5</v>
      </c>
      <c r="R88" s="6">
        <f t="shared" si="2"/>
        <v>46041</v>
      </c>
      <c r="S88" s="5">
        <f t="shared" si="3"/>
        <v>49</v>
      </c>
      <c r="T88" s="5" t="str">
        <f t="shared" si="4"/>
        <v>Normal</v>
      </c>
    </row>
    <row r="89">
      <c r="A89" s="2" t="s">
        <v>206</v>
      </c>
      <c r="B89" s="2">
        <v>245.0</v>
      </c>
      <c r="C89" s="2">
        <v>8.0</v>
      </c>
      <c r="D89" s="4">
        <v>46028.052777777775</v>
      </c>
      <c r="E89" s="2">
        <v>49.0</v>
      </c>
      <c r="F89" s="2" t="s">
        <v>12</v>
      </c>
      <c r="G89" s="2" t="s">
        <v>69</v>
      </c>
      <c r="H89" s="2">
        <v>8.0</v>
      </c>
      <c r="I89" s="5" t="str">
        <f>IFERROR(VLOOKUP($C89, merchants!$A$2:$D$41, 2, FALSE), "Merchant not found")</f>
        <v>Merchant_008</v>
      </c>
      <c r="J89" s="5" t="str">
        <f>IFERROR(VLOOKUP($C89, merchants!$A$2:$D$41, 3, FALSE), "Merchant not found")</f>
        <v>food_delivery</v>
      </c>
      <c r="K89" s="5" t="str">
        <f>IFERROR(VLOOKUP($C89, merchants!$A$2:$D$41, 4, FALSE), "Merchant not found")</f>
        <v>North</v>
      </c>
      <c r="Q89" s="5">
        <f t="shared" si="1"/>
        <v>0.3</v>
      </c>
      <c r="R89" s="6">
        <f t="shared" si="2"/>
        <v>46028</v>
      </c>
      <c r="S89" s="5">
        <f t="shared" si="3"/>
        <v>49</v>
      </c>
      <c r="T89" s="5" t="str">
        <f t="shared" si="4"/>
        <v>Normal</v>
      </c>
    </row>
    <row r="90">
      <c r="A90" s="2" t="s">
        <v>207</v>
      </c>
      <c r="B90" s="2">
        <v>296.0</v>
      </c>
      <c r="C90" s="2">
        <v>4.0</v>
      </c>
      <c r="D90" s="4">
        <v>46035.62777777778</v>
      </c>
      <c r="E90" s="2">
        <v>799.0</v>
      </c>
      <c r="F90" s="2" t="s">
        <v>13</v>
      </c>
      <c r="G90" s="2" t="s">
        <v>23</v>
      </c>
      <c r="H90" s="2">
        <v>19.0</v>
      </c>
      <c r="I90" s="5" t="str">
        <f>IFERROR(VLOOKUP($C90, merchants!$A$2:$D$41, 2, FALSE), "Merchant not found")</f>
        <v>Merchant_004</v>
      </c>
      <c r="J90" s="5" t="str">
        <f>IFERROR(VLOOKUP($C90, merchants!$A$2:$D$41, 3, FALSE), "Merchant not found")</f>
        <v>ecommerce</v>
      </c>
      <c r="K90" s="5" t="str">
        <f>IFERROR(VLOOKUP($C90, merchants!$A$2:$D$41, 4, FALSE), "Merchant not found")</f>
        <v>East</v>
      </c>
      <c r="Q90" s="5">
        <f t="shared" si="1"/>
        <v>0.5</v>
      </c>
      <c r="R90" s="6">
        <f t="shared" si="2"/>
        <v>46035</v>
      </c>
      <c r="S90" s="5">
        <f t="shared" si="3"/>
        <v>948</v>
      </c>
      <c r="T90" s="5" t="str">
        <f t="shared" si="4"/>
        <v>Normal</v>
      </c>
    </row>
    <row r="91">
      <c r="A91" s="2" t="s">
        <v>208</v>
      </c>
      <c r="B91" s="2">
        <v>44.0</v>
      </c>
      <c r="C91" s="2">
        <v>16.0</v>
      </c>
      <c r="D91" s="4">
        <v>46027.763194444444</v>
      </c>
      <c r="E91" s="2">
        <v>149.0</v>
      </c>
      <c r="F91" s="2" t="s">
        <v>12</v>
      </c>
      <c r="G91" s="2" t="s">
        <v>23</v>
      </c>
      <c r="H91" s="2">
        <v>15.0</v>
      </c>
      <c r="I91" s="5" t="str">
        <f>IFERROR(VLOOKUP($C91, merchants!$A$2:$D$41, 2, FALSE), "Merchant not found")</f>
        <v>Merchant_016</v>
      </c>
      <c r="J91" s="5" t="str">
        <f>IFERROR(VLOOKUP($C91, merchants!$A$2:$D$41, 3, FALSE), "Merchant not found")</f>
        <v>bill_payment</v>
      </c>
      <c r="K91" s="5" t="str">
        <f>IFERROR(VLOOKUP($C91, merchants!$A$2:$D$41, 4, FALSE), "Merchant not found")</f>
        <v>West</v>
      </c>
      <c r="Q91" s="5">
        <f t="shared" si="1"/>
        <v>0.3</v>
      </c>
      <c r="R91" s="6">
        <f t="shared" si="2"/>
        <v>46027</v>
      </c>
      <c r="S91" s="5">
        <f t="shared" si="3"/>
        <v>149</v>
      </c>
      <c r="T91" s="5" t="str">
        <f t="shared" si="4"/>
        <v>Normal</v>
      </c>
    </row>
    <row r="92">
      <c r="A92" s="2" t="s">
        <v>209</v>
      </c>
      <c r="B92" s="2">
        <v>306.0</v>
      </c>
      <c r="C92" s="2">
        <v>40.0</v>
      </c>
      <c r="D92" s="4">
        <v>46040.56805555556</v>
      </c>
      <c r="E92" s="2">
        <v>799.0</v>
      </c>
      <c r="F92" s="2" t="s">
        <v>14</v>
      </c>
      <c r="G92" s="2" t="s">
        <v>23</v>
      </c>
      <c r="H92" s="2">
        <v>28.0</v>
      </c>
      <c r="I92" s="5" t="str">
        <f>IFERROR(VLOOKUP($C92, merchants!$A$2:$D$41, 2, FALSE), "Merchant not found")</f>
        <v>Merchant_040</v>
      </c>
      <c r="J92" s="5" t="str">
        <f>IFERROR(VLOOKUP($C92, merchants!$A$2:$D$41, 3, FALSE), "Merchant not found")</f>
        <v>entertainment</v>
      </c>
      <c r="K92" s="5" t="str">
        <f>IFERROR(VLOOKUP($C92, merchants!$A$2:$D$41, 4, FALSE), "Merchant not found")</f>
        <v>South</v>
      </c>
      <c r="Q92" s="5">
        <f t="shared" si="1"/>
        <v>1.5</v>
      </c>
      <c r="R92" s="6">
        <f t="shared" si="2"/>
        <v>46040</v>
      </c>
      <c r="S92" s="5">
        <f t="shared" si="3"/>
        <v>799</v>
      </c>
      <c r="T92" s="5" t="str">
        <f t="shared" si="4"/>
        <v>Normal</v>
      </c>
    </row>
    <row r="93">
      <c r="A93" s="2" t="s">
        <v>210</v>
      </c>
      <c r="B93" s="2">
        <v>231.0</v>
      </c>
      <c r="C93" s="2">
        <v>29.0</v>
      </c>
      <c r="D93" s="4">
        <v>46047.683333333334</v>
      </c>
      <c r="E93" s="2">
        <v>299.0</v>
      </c>
      <c r="F93" s="2" t="s">
        <v>12</v>
      </c>
      <c r="G93" s="2" t="s">
        <v>23</v>
      </c>
      <c r="H93" s="2">
        <v>38.0</v>
      </c>
      <c r="I93" s="5" t="str">
        <f>IFERROR(VLOOKUP($C93, merchants!$A$2:$D$41, 2, FALSE), "Merchant not found")</f>
        <v>Merchant_029</v>
      </c>
      <c r="J93" s="5" t="str">
        <f>IFERROR(VLOOKUP($C93, merchants!$A$2:$D$41, 3, FALSE), "Merchant not found")</f>
        <v>ecommerce</v>
      </c>
      <c r="K93" s="5" t="str">
        <f>IFERROR(VLOOKUP($C93, merchants!$A$2:$D$41, 4, FALSE), "Merchant not found")</f>
        <v>North</v>
      </c>
      <c r="Q93" s="5">
        <f t="shared" si="1"/>
        <v>0.3</v>
      </c>
      <c r="R93" s="6">
        <f t="shared" si="2"/>
        <v>46047</v>
      </c>
      <c r="S93" s="5">
        <f t="shared" si="3"/>
        <v>3896</v>
      </c>
      <c r="T93" s="5" t="str">
        <f t="shared" si="4"/>
        <v>Normal</v>
      </c>
    </row>
    <row r="94">
      <c r="A94" s="2" t="s">
        <v>211</v>
      </c>
      <c r="B94" s="2">
        <v>157.0</v>
      </c>
      <c r="C94" s="2">
        <v>37.0</v>
      </c>
      <c r="D94" s="4">
        <v>46050.76875</v>
      </c>
      <c r="E94" s="2">
        <v>499.0</v>
      </c>
      <c r="F94" s="2" t="s">
        <v>13</v>
      </c>
      <c r="G94" s="2" t="s">
        <v>23</v>
      </c>
      <c r="H94" s="2">
        <v>79.0</v>
      </c>
      <c r="I94" s="5" t="str">
        <f>IFERROR(VLOOKUP($C94, merchants!$A$2:$D$41, 2, FALSE), "Merchant not found")</f>
        <v>Merchant_037</v>
      </c>
      <c r="J94" s="5" t="str">
        <f>IFERROR(VLOOKUP($C94, merchants!$A$2:$D$41, 3, FALSE), "Merchant not found")</f>
        <v>entertainment</v>
      </c>
      <c r="K94" s="5" t="str">
        <f>IFERROR(VLOOKUP($C94, merchants!$A$2:$D$41, 4, FALSE), "Merchant not found")</f>
        <v>South</v>
      </c>
      <c r="Q94" s="5">
        <f t="shared" si="1"/>
        <v>0.5</v>
      </c>
      <c r="R94" s="6">
        <f t="shared" si="2"/>
        <v>46050</v>
      </c>
      <c r="S94" s="5">
        <f t="shared" si="3"/>
        <v>697</v>
      </c>
      <c r="T94" s="5" t="str">
        <f t="shared" si="4"/>
        <v>Normal</v>
      </c>
    </row>
    <row r="95">
      <c r="A95" s="2" t="s">
        <v>212</v>
      </c>
      <c r="B95" s="2">
        <v>51.0</v>
      </c>
      <c r="C95" s="2">
        <v>14.0</v>
      </c>
      <c r="D95" s="4">
        <v>46024.82430555556</v>
      </c>
      <c r="E95" s="2">
        <v>1499.0</v>
      </c>
      <c r="F95" s="2" t="s">
        <v>12</v>
      </c>
      <c r="G95" s="2" t="s">
        <v>23</v>
      </c>
      <c r="H95" s="2">
        <v>80.0</v>
      </c>
      <c r="I95" s="5" t="str">
        <f>IFERROR(VLOOKUP($C95, merchants!$A$2:$D$41, 2, FALSE), "Merchant not found")</f>
        <v>Merchant_014</v>
      </c>
      <c r="J95" s="5" t="str">
        <f>IFERROR(VLOOKUP($C95, merchants!$A$2:$D$41, 3, FALSE), "Merchant not found")</f>
        <v>grocery</v>
      </c>
      <c r="K95" s="5" t="str">
        <f>IFERROR(VLOOKUP($C95, merchants!$A$2:$D$41, 4, FALSE), "Merchant not found")</f>
        <v>East</v>
      </c>
      <c r="Q95" s="5">
        <f t="shared" si="1"/>
        <v>0.3</v>
      </c>
      <c r="R95" s="6">
        <f t="shared" si="2"/>
        <v>46024</v>
      </c>
      <c r="S95" s="5">
        <f t="shared" si="3"/>
        <v>1499</v>
      </c>
      <c r="T95" s="5" t="str">
        <f t="shared" si="4"/>
        <v>Normal</v>
      </c>
    </row>
    <row r="96">
      <c r="A96" s="2" t="s">
        <v>213</v>
      </c>
      <c r="B96" s="2">
        <v>42.0</v>
      </c>
      <c r="C96" s="2">
        <v>11.0</v>
      </c>
      <c r="D96" s="4">
        <v>46029.3625</v>
      </c>
      <c r="E96" s="2">
        <v>49.0</v>
      </c>
      <c r="F96" s="2" t="s">
        <v>13</v>
      </c>
      <c r="G96" s="2" t="s">
        <v>23</v>
      </c>
      <c r="H96" s="2">
        <v>30.0</v>
      </c>
      <c r="I96" s="5" t="str">
        <f>IFERROR(VLOOKUP($C96, merchants!$A$2:$D$41, 2, FALSE), "Merchant not found")</f>
        <v>Merchant_011</v>
      </c>
      <c r="J96" s="5" t="str">
        <f>IFERROR(VLOOKUP($C96, merchants!$A$2:$D$41, 3, FALSE), "Merchant not found")</f>
        <v>ecommerce</v>
      </c>
      <c r="K96" s="5" t="str">
        <f>IFERROR(VLOOKUP($C96, merchants!$A$2:$D$41, 4, FALSE), "Merchant not found")</f>
        <v>North</v>
      </c>
      <c r="Q96" s="5">
        <f t="shared" si="1"/>
        <v>0.5</v>
      </c>
      <c r="R96" s="6">
        <f t="shared" si="2"/>
        <v>46029</v>
      </c>
      <c r="S96" s="5">
        <f t="shared" si="3"/>
        <v>49</v>
      </c>
      <c r="T96" s="5" t="str">
        <f t="shared" si="4"/>
        <v>Normal</v>
      </c>
    </row>
    <row r="97">
      <c r="A97" s="2" t="s">
        <v>214</v>
      </c>
      <c r="B97" s="2">
        <v>81.0</v>
      </c>
      <c r="C97" s="2">
        <v>1.0</v>
      </c>
      <c r="D97" s="4">
        <v>46028.71111111111</v>
      </c>
      <c r="E97" s="2">
        <v>149.0</v>
      </c>
      <c r="F97" s="2" t="s">
        <v>12</v>
      </c>
      <c r="G97" s="2" t="s">
        <v>23</v>
      </c>
      <c r="H97" s="2">
        <v>52.0</v>
      </c>
      <c r="I97" s="5" t="str">
        <f>IFERROR(VLOOKUP($C97, merchants!$A$2:$D$41, 2, FALSE), "Merchant not found")</f>
        <v>Merchant_001</v>
      </c>
      <c r="J97" s="5" t="str">
        <f>IFERROR(VLOOKUP($C97, merchants!$A$2:$D$41, 3, FALSE), "Merchant not found")</f>
        <v>ecommerce</v>
      </c>
      <c r="K97" s="5" t="str">
        <f>IFERROR(VLOOKUP($C97, merchants!$A$2:$D$41, 4, FALSE), "Merchant not found")</f>
        <v>South</v>
      </c>
      <c r="Q97" s="5">
        <f t="shared" si="1"/>
        <v>0.3</v>
      </c>
      <c r="R97" s="6">
        <f t="shared" si="2"/>
        <v>46028</v>
      </c>
      <c r="S97" s="5">
        <f t="shared" si="3"/>
        <v>149</v>
      </c>
      <c r="T97" s="5" t="str">
        <f t="shared" si="4"/>
        <v>Normal</v>
      </c>
    </row>
    <row r="98">
      <c r="A98" s="2" t="s">
        <v>215</v>
      </c>
      <c r="B98" s="2">
        <v>241.0</v>
      </c>
      <c r="C98" s="2">
        <v>19.0</v>
      </c>
      <c r="D98" s="4">
        <v>46037.94305555556</v>
      </c>
      <c r="E98" s="2">
        <v>299.0</v>
      </c>
      <c r="F98" s="2" t="s">
        <v>12</v>
      </c>
      <c r="G98" s="2" t="s">
        <v>23</v>
      </c>
      <c r="H98" s="2">
        <v>4.0</v>
      </c>
      <c r="I98" s="5" t="str">
        <f>IFERROR(VLOOKUP($C98, merchants!$A$2:$D$41, 2, FALSE), "Merchant not found")</f>
        <v>Merchant_019</v>
      </c>
      <c r="J98" s="5" t="str">
        <f>IFERROR(VLOOKUP($C98, merchants!$A$2:$D$41, 3, FALSE), "Merchant not found")</f>
        <v>grocery</v>
      </c>
      <c r="K98" s="5" t="str">
        <f>IFERROR(VLOOKUP($C98, merchants!$A$2:$D$41, 4, FALSE), "Merchant not found")</f>
        <v>North</v>
      </c>
      <c r="Q98" s="5">
        <f t="shared" si="1"/>
        <v>0.3</v>
      </c>
      <c r="R98" s="6">
        <f t="shared" si="2"/>
        <v>46037</v>
      </c>
      <c r="S98" s="5">
        <f t="shared" si="3"/>
        <v>398</v>
      </c>
      <c r="T98" s="5" t="str">
        <f t="shared" si="4"/>
        <v>Normal</v>
      </c>
    </row>
    <row r="99">
      <c r="A99" s="2" t="s">
        <v>216</v>
      </c>
      <c r="B99" s="2">
        <v>145.0</v>
      </c>
      <c r="C99" s="2">
        <v>30.0</v>
      </c>
      <c r="D99" s="4">
        <v>46030.40625</v>
      </c>
      <c r="E99" s="2">
        <v>799.0</v>
      </c>
      <c r="F99" s="2" t="s">
        <v>12</v>
      </c>
      <c r="G99" s="2" t="s">
        <v>23</v>
      </c>
      <c r="H99" s="2">
        <v>9.0</v>
      </c>
      <c r="I99" s="5" t="str">
        <f>IFERROR(VLOOKUP($C99, merchants!$A$2:$D$41, 2, FALSE), "Merchant not found")</f>
        <v>Merchant_030</v>
      </c>
      <c r="J99" s="5" t="str">
        <f>IFERROR(VLOOKUP($C99, merchants!$A$2:$D$41, 3, FALSE), "Merchant not found")</f>
        <v>travel</v>
      </c>
      <c r="K99" s="5" t="str">
        <f>IFERROR(VLOOKUP($C99, merchants!$A$2:$D$41, 4, FALSE), "Merchant not found")</f>
        <v>West</v>
      </c>
      <c r="Q99" s="5">
        <f t="shared" si="1"/>
        <v>0.3</v>
      </c>
      <c r="R99" s="6">
        <f t="shared" si="2"/>
        <v>46030</v>
      </c>
      <c r="S99" s="5">
        <f t="shared" si="3"/>
        <v>1197</v>
      </c>
      <c r="T99" s="5" t="str">
        <f t="shared" si="4"/>
        <v>Normal</v>
      </c>
    </row>
    <row r="100">
      <c r="A100" s="2" t="s">
        <v>217</v>
      </c>
      <c r="B100" s="2">
        <v>136.0</v>
      </c>
      <c r="C100" s="2">
        <v>38.0</v>
      </c>
      <c r="D100" s="4">
        <v>46044.33263888889</v>
      </c>
      <c r="E100" s="2">
        <v>299.0</v>
      </c>
      <c r="F100" s="2" t="s">
        <v>14</v>
      </c>
      <c r="G100" s="2" t="s">
        <v>23</v>
      </c>
      <c r="H100" s="2">
        <v>84.0</v>
      </c>
      <c r="I100" s="5" t="str">
        <f>IFERROR(VLOOKUP($C100, merchants!$A$2:$D$41, 2, FALSE), "Merchant not found")</f>
        <v>Merchant_038</v>
      </c>
      <c r="J100" s="5" t="str">
        <f>IFERROR(VLOOKUP($C100, merchants!$A$2:$D$41, 3, FALSE), "Merchant not found")</f>
        <v>grocery</v>
      </c>
      <c r="K100" s="5" t="str">
        <f>IFERROR(VLOOKUP($C100, merchants!$A$2:$D$41, 4, FALSE), "Merchant not found")</f>
        <v>East</v>
      </c>
      <c r="Q100" s="5">
        <f t="shared" si="1"/>
        <v>1.5</v>
      </c>
      <c r="R100" s="6">
        <f t="shared" si="2"/>
        <v>46044</v>
      </c>
      <c r="S100" s="5">
        <f t="shared" si="3"/>
        <v>299</v>
      </c>
      <c r="T100" s="5" t="str">
        <f t="shared" si="4"/>
        <v>Normal</v>
      </c>
    </row>
    <row r="101">
      <c r="A101" s="2" t="s">
        <v>218</v>
      </c>
      <c r="B101" s="2">
        <v>59.0</v>
      </c>
      <c r="C101" s="2">
        <v>35.0</v>
      </c>
      <c r="D101" s="4">
        <v>46048.26875</v>
      </c>
      <c r="E101" s="2">
        <v>499.0</v>
      </c>
      <c r="F101" s="2" t="s">
        <v>12</v>
      </c>
      <c r="G101" s="2" t="s">
        <v>23</v>
      </c>
      <c r="H101" s="2">
        <v>28.0</v>
      </c>
      <c r="I101" s="5" t="str">
        <f>IFERROR(VLOOKUP($C101, merchants!$A$2:$D$41, 2, FALSE), "Merchant not found")</f>
        <v>Merchant_035</v>
      </c>
      <c r="J101" s="5" t="str">
        <f>IFERROR(VLOOKUP($C101, merchants!$A$2:$D$41, 3, FALSE), "Merchant not found")</f>
        <v>recharge</v>
      </c>
      <c r="K101" s="5" t="str">
        <f>IFERROR(VLOOKUP($C101, merchants!$A$2:$D$41, 4, FALSE), "Merchant not found")</f>
        <v>East</v>
      </c>
      <c r="Q101" s="5">
        <f t="shared" si="1"/>
        <v>0.3</v>
      </c>
      <c r="R101" s="6">
        <f t="shared" si="2"/>
        <v>46048</v>
      </c>
      <c r="S101" s="5">
        <f t="shared" si="3"/>
        <v>499</v>
      </c>
      <c r="T101" s="5" t="str">
        <f t="shared" si="4"/>
        <v>Normal</v>
      </c>
    </row>
    <row r="102">
      <c r="A102" s="2" t="s">
        <v>219</v>
      </c>
      <c r="B102" s="2">
        <v>137.0</v>
      </c>
      <c r="C102" s="2">
        <v>10.0</v>
      </c>
      <c r="D102" s="4">
        <v>46043.20694444444</v>
      </c>
      <c r="E102" s="2">
        <v>299.0</v>
      </c>
      <c r="F102" s="2" t="s">
        <v>12</v>
      </c>
      <c r="G102" s="2" t="s">
        <v>23</v>
      </c>
      <c r="H102" s="2">
        <v>9.0</v>
      </c>
      <c r="I102" s="5" t="str">
        <f>IFERROR(VLOOKUP($C102, merchants!$A$2:$D$41, 2, FALSE), "Merchant not found")</f>
        <v>Merchant_010</v>
      </c>
      <c r="J102" s="5" t="str">
        <f>IFERROR(VLOOKUP($C102, merchants!$A$2:$D$41, 3, FALSE), "Merchant not found")</f>
        <v>grocery</v>
      </c>
      <c r="K102" s="5" t="str">
        <f>IFERROR(VLOOKUP($C102, merchants!$A$2:$D$41, 4, FALSE), "Merchant not found")</f>
        <v>West</v>
      </c>
      <c r="Q102" s="5">
        <f t="shared" si="1"/>
        <v>0.3</v>
      </c>
      <c r="R102" s="6">
        <f t="shared" si="2"/>
        <v>46043</v>
      </c>
      <c r="S102" s="5">
        <f t="shared" si="3"/>
        <v>398</v>
      </c>
      <c r="T102" s="5" t="str">
        <f t="shared" si="4"/>
        <v>Normal</v>
      </c>
    </row>
    <row r="103">
      <c r="A103" s="2" t="s">
        <v>220</v>
      </c>
      <c r="B103" s="2">
        <v>158.0</v>
      </c>
      <c r="C103" s="2">
        <v>39.0</v>
      </c>
      <c r="D103" s="4">
        <v>46024.243055555555</v>
      </c>
      <c r="E103" s="2">
        <v>499.0</v>
      </c>
      <c r="F103" s="2" t="s">
        <v>15</v>
      </c>
      <c r="G103" s="2" t="s">
        <v>23</v>
      </c>
      <c r="H103" s="2">
        <v>95.0</v>
      </c>
      <c r="I103" s="5" t="str">
        <f>IFERROR(VLOOKUP($C103, merchants!$A$2:$D$41, 2, FALSE), "Merchant not found")</f>
        <v>Merchant_039</v>
      </c>
      <c r="J103" s="5" t="str">
        <f>IFERROR(VLOOKUP($C103, merchants!$A$2:$D$41, 3, FALSE), "Merchant not found")</f>
        <v>entertainment</v>
      </c>
      <c r="K103" s="5" t="str">
        <f>IFERROR(VLOOKUP($C103, merchants!$A$2:$D$41, 4, FALSE), "Merchant not found")</f>
        <v>North</v>
      </c>
      <c r="Q103" s="5">
        <f t="shared" si="1"/>
        <v>0.9</v>
      </c>
      <c r="R103" s="6">
        <f t="shared" si="2"/>
        <v>46024</v>
      </c>
      <c r="S103" s="5">
        <f t="shared" si="3"/>
        <v>499</v>
      </c>
      <c r="T103" s="5" t="str">
        <f t="shared" si="4"/>
        <v>Normal</v>
      </c>
    </row>
    <row r="104">
      <c r="A104" s="2" t="s">
        <v>221</v>
      </c>
      <c r="B104" s="2">
        <v>148.0</v>
      </c>
      <c r="C104" s="2">
        <v>29.0</v>
      </c>
      <c r="D104" s="4">
        <v>46049.79027777778</v>
      </c>
      <c r="E104" s="2">
        <v>99.0</v>
      </c>
      <c r="F104" s="2" t="s">
        <v>14</v>
      </c>
      <c r="G104" s="2" t="s">
        <v>23</v>
      </c>
      <c r="H104" s="2">
        <v>15.0</v>
      </c>
      <c r="I104" s="5" t="str">
        <f>IFERROR(VLOOKUP($C104, merchants!$A$2:$D$41, 2, FALSE), "Merchant not found")</f>
        <v>Merchant_029</v>
      </c>
      <c r="J104" s="5" t="str">
        <f>IFERROR(VLOOKUP($C104, merchants!$A$2:$D$41, 3, FALSE), "Merchant not found")</f>
        <v>ecommerce</v>
      </c>
      <c r="K104" s="5" t="str">
        <f>IFERROR(VLOOKUP($C104, merchants!$A$2:$D$41, 4, FALSE), "Merchant not found")</f>
        <v>North</v>
      </c>
      <c r="Q104" s="5">
        <f t="shared" si="1"/>
        <v>1.5</v>
      </c>
      <c r="R104" s="6">
        <f t="shared" si="2"/>
        <v>46049</v>
      </c>
      <c r="S104" s="5">
        <f t="shared" si="3"/>
        <v>898</v>
      </c>
      <c r="T104" s="5" t="str">
        <f t="shared" si="4"/>
        <v>Normal</v>
      </c>
    </row>
    <row r="105">
      <c r="A105" s="2" t="s">
        <v>222</v>
      </c>
      <c r="B105" s="2">
        <v>207.0</v>
      </c>
      <c r="C105" s="2">
        <v>18.0</v>
      </c>
      <c r="D105" s="4">
        <v>46037.92986111111</v>
      </c>
      <c r="E105" s="2">
        <v>149.0</v>
      </c>
      <c r="F105" s="2" t="s">
        <v>12</v>
      </c>
      <c r="G105" s="2" t="s">
        <v>23</v>
      </c>
      <c r="H105" s="2">
        <v>64.0</v>
      </c>
      <c r="I105" s="5" t="str">
        <f>IFERROR(VLOOKUP($C105, merchants!$A$2:$D$41, 2, FALSE), "Merchant not found")</f>
        <v>Merchant_018</v>
      </c>
      <c r="J105" s="5" t="str">
        <f>IFERROR(VLOOKUP($C105, merchants!$A$2:$D$41, 3, FALSE), "Merchant not found")</f>
        <v>grocery</v>
      </c>
      <c r="K105" s="5" t="str">
        <f>IFERROR(VLOOKUP($C105, merchants!$A$2:$D$41, 4, FALSE), "Merchant not found")</f>
        <v>West</v>
      </c>
      <c r="Q105" s="5">
        <f t="shared" si="1"/>
        <v>0.3</v>
      </c>
      <c r="R105" s="6">
        <f t="shared" si="2"/>
        <v>46037</v>
      </c>
      <c r="S105" s="5">
        <f t="shared" si="3"/>
        <v>149</v>
      </c>
      <c r="T105" s="5" t="str">
        <f t="shared" si="4"/>
        <v>Normal</v>
      </c>
    </row>
    <row r="106">
      <c r="A106" s="2" t="s">
        <v>223</v>
      </c>
      <c r="B106" s="2">
        <v>42.0</v>
      </c>
      <c r="C106" s="2">
        <v>39.0</v>
      </c>
      <c r="D106" s="4">
        <v>46040.64444444444</v>
      </c>
      <c r="E106" s="2">
        <v>2999.0</v>
      </c>
      <c r="F106" s="2" t="s">
        <v>14</v>
      </c>
      <c r="G106" s="2" t="s">
        <v>23</v>
      </c>
      <c r="H106" s="2">
        <v>5.0</v>
      </c>
      <c r="I106" s="5" t="str">
        <f>IFERROR(VLOOKUP($C106, merchants!$A$2:$D$41, 2, FALSE), "Merchant not found")</f>
        <v>Merchant_039</v>
      </c>
      <c r="J106" s="5" t="str">
        <f>IFERROR(VLOOKUP($C106, merchants!$A$2:$D$41, 3, FALSE), "Merchant not found")</f>
        <v>entertainment</v>
      </c>
      <c r="K106" s="5" t="str">
        <f>IFERROR(VLOOKUP($C106, merchants!$A$2:$D$41, 4, FALSE), "Merchant not found")</f>
        <v>North</v>
      </c>
      <c r="Q106" s="5">
        <f t="shared" si="1"/>
        <v>1.5</v>
      </c>
      <c r="R106" s="6">
        <f t="shared" si="2"/>
        <v>46040</v>
      </c>
      <c r="S106" s="5">
        <f t="shared" si="3"/>
        <v>2999</v>
      </c>
      <c r="T106" s="5" t="str">
        <f t="shared" si="4"/>
        <v>Normal</v>
      </c>
    </row>
    <row r="107">
      <c r="A107" s="2" t="s">
        <v>224</v>
      </c>
      <c r="B107" s="2">
        <v>166.0</v>
      </c>
      <c r="C107" s="2">
        <v>39.0</v>
      </c>
      <c r="D107" s="4">
        <v>46051.57430555556</v>
      </c>
      <c r="E107" s="2">
        <v>149.0</v>
      </c>
      <c r="F107" s="2" t="s">
        <v>12</v>
      </c>
      <c r="G107" s="2" t="s">
        <v>23</v>
      </c>
      <c r="H107" s="2">
        <v>32.0</v>
      </c>
      <c r="I107" s="5" t="str">
        <f>IFERROR(VLOOKUP($C107, merchants!$A$2:$D$41, 2, FALSE), "Merchant not found")</f>
        <v>Merchant_039</v>
      </c>
      <c r="J107" s="5" t="str">
        <f>IFERROR(VLOOKUP($C107, merchants!$A$2:$D$41, 3, FALSE), "Merchant not found")</f>
        <v>entertainment</v>
      </c>
      <c r="K107" s="5" t="str">
        <f>IFERROR(VLOOKUP($C107, merchants!$A$2:$D$41, 4, FALSE), "Merchant not found")</f>
        <v>North</v>
      </c>
      <c r="Q107" s="5">
        <f t="shared" si="1"/>
        <v>0.3</v>
      </c>
      <c r="R107" s="6">
        <f t="shared" si="2"/>
        <v>46051</v>
      </c>
      <c r="S107" s="5">
        <f t="shared" si="3"/>
        <v>149</v>
      </c>
      <c r="T107" s="5" t="str">
        <f t="shared" si="4"/>
        <v>Normal</v>
      </c>
    </row>
    <row r="108">
      <c r="A108" s="2" t="s">
        <v>225</v>
      </c>
      <c r="B108" s="2">
        <v>346.0</v>
      </c>
      <c r="C108" s="2">
        <v>37.0</v>
      </c>
      <c r="D108" s="4">
        <v>46023.09305555555</v>
      </c>
      <c r="E108" s="2">
        <v>99.0</v>
      </c>
      <c r="F108" s="2" t="s">
        <v>12</v>
      </c>
      <c r="G108" s="2" t="s">
        <v>23</v>
      </c>
      <c r="H108" s="2">
        <v>75.0</v>
      </c>
      <c r="I108" s="5" t="str">
        <f>IFERROR(VLOOKUP($C108, merchants!$A$2:$D$41, 2, FALSE), "Merchant not found")</f>
        <v>Merchant_037</v>
      </c>
      <c r="J108" s="5" t="str">
        <f>IFERROR(VLOOKUP($C108, merchants!$A$2:$D$41, 3, FALSE), "Merchant not found")</f>
        <v>entertainment</v>
      </c>
      <c r="K108" s="5" t="str">
        <f>IFERROR(VLOOKUP($C108, merchants!$A$2:$D$41, 4, FALSE), "Merchant not found")</f>
        <v>South</v>
      </c>
      <c r="Q108" s="5">
        <f t="shared" si="1"/>
        <v>0.3</v>
      </c>
      <c r="R108" s="6">
        <f t="shared" si="2"/>
        <v>46023</v>
      </c>
      <c r="S108" s="5">
        <f t="shared" si="3"/>
        <v>598</v>
      </c>
      <c r="T108" s="5" t="str">
        <f t="shared" si="4"/>
        <v>Normal</v>
      </c>
    </row>
    <row r="109">
      <c r="A109" s="2" t="s">
        <v>226</v>
      </c>
      <c r="B109" s="2">
        <v>138.0</v>
      </c>
      <c r="C109" s="2">
        <v>37.0</v>
      </c>
      <c r="D109" s="4">
        <v>46023.91111111111</v>
      </c>
      <c r="E109" s="2">
        <v>499.0</v>
      </c>
      <c r="F109" s="2" t="s">
        <v>12</v>
      </c>
      <c r="G109" s="2" t="s">
        <v>23</v>
      </c>
      <c r="H109" s="2">
        <v>5.0</v>
      </c>
      <c r="I109" s="5" t="str">
        <f>IFERROR(VLOOKUP($C109, merchants!$A$2:$D$41, 2, FALSE), "Merchant not found")</f>
        <v>Merchant_037</v>
      </c>
      <c r="J109" s="5" t="str">
        <f>IFERROR(VLOOKUP($C109, merchants!$A$2:$D$41, 3, FALSE), "Merchant not found")</f>
        <v>entertainment</v>
      </c>
      <c r="K109" s="5" t="str">
        <f>IFERROR(VLOOKUP($C109, merchants!$A$2:$D$41, 4, FALSE), "Merchant not found")</f>
        <v>South</v>
      </c>
      <c r="Q109" s="5">
        <f t="shared" si="1"/>
        <v>0.3</v>
      </c>
      <c r="R109" s="6">
        <f t="shared" si="2"/>
        <v>46023</v>
      </c>
      <c r="S109" s="5">
        <f t="shared" si="3"/>
        <v>598</v>
      </c>
      <c r="T109" s="5" t="str">
        <f t="shared" si="4"/>
        <v>Normal</v>
      </c>
    </row>
    <row r="110">
      <c r="A110" s="2" t="s">
        <v>227</v>
      </c>
      <c r="B110" s="2">
        <v>266.0</v>
      </c>
      <c r="C110" s="2">
        <v>29.0</v>
      </c>
      <c r="D110" s="4">
        <v>46047.229166666664</v>
      </c>
      <c r="E110" s="2">
        <v>499.0</v>
      </c>
      <c r="F110" s="2" t="s">
        <v>13</v>
      </c>
      <c r="G110" s="2" t="s">
        <v>61</v>
      </c>
      <c r="H110" s="2">
        <v>35.0</v>
      </c>
      <c r="I110" s="5" t="str">
        <f>IFERROR(VLOOKUP($C110, merchants!$A$2:$D$41, 2, FALSE), "Merchant not found")</f>
        <v>Merchant_029</v>
      </c>
      <c r="J110" s="5" t="str">
        <f>IFERROR(VLOOKUP($C110, merchants!$A$2:$D$41, 3, FALSE), "Merchant not found")</f>
        <v>ecommerce</v>
      </c>
      <c r="K110" s="5" t="str">
        <f>IFERROR(VLOOKUP($C110, merchants!$A$2:$D$41, 4, FALSE), "Merchant not found")</f>
        <v>North</v>
      </c>
      <c r="Q110" s="5">
        <f t="shared" si="1"/>
        <v>0.5</v>
      </c>
      <c r="R110" s="6">
        <f t="shared" si="2"/>
        <v>46047</v>
      </c>
      <c r="S110" s="5">
        <f t="shared" si="3"/>
        <v>3896</v>
      </c>
      <c r="T110" s="5" t="str">
        <f t="shared" si="4"/>
        <v>Normal</v>
      </c>
    </row>
    <row r="111">
      <c r="A111" s="2" t="s">
        <v>228</v>
      </c>
      <c r="B111" s="2">
        <v>326.0</v>
      </c>
      <c r="C111" s="2">
        <v>32.0</v>
      </c>
      <c r="D111" s="4">
        <v>46028.76875</v>
      </c>
      <c r="E111" s="2">
        <v>149.0</v>
      </c>
      <c r="F111" s="2" t="s">
        <v>12</v>
      </c>
      <c r="G111" s="2" t="s">
        <v>23</v>
      </c>
      <c r="H111" s="2">
        <v>11.0</v>
      </c>
      <c r="I111" s="5" t="str">
        <f>IFERROR(VLOOKUP($C111, merchants!$A$2:$D$41, 2, FALSE), "Merchant not found")</f>
        <v>Merchant_032</v>
      </c>
      <c r="J111" s="5" t="str">
        <f>IFERROR(VLOOKUP($C111, merchants!$A$2:$D$41, 3, FALSE), "Merchant not found")</f>
        <v>food_delivery</v>
      </c>
      <c r="K111" s="5" t="str">
        <f>IFERROR(VLOOKUP($C111, merchants!$A$2:$D$41, 4, FALSE), "Merchant not found")</f>
        <v>West</v>
      </c>
      <c r="Q111" s="5">
        <f t="shared" si="1"/>
        <v>0.3</v>
      </c>
      <c r="R111" s="6">
        <f t="shared" si="2"/>
        <v>46028</v>
      </c>
      <c r="S111" s="5">
        <f t="shared" si="3"/>
        <v>149</v>
      </c>
      <c r="T111" s="5" t="str">
        <f t="shared" si="4"/>
        <v>Normal</v>
      </c>
    </row>
    <row r="112">
      <c r="A112" s="2" t="s">
        <v>229</v>
      </c>
      <c r="B112" s="2">
        <v>171.0</v>
      </c>
      <c r="C112" s="2">
        <v>21.0</v>
      </c>
      <c r="D112" s="4">
        <v>46038.47638888889</v>
      </c>
      <c r="E112" s="2">
        <v>799.0</v>
      </c>
      <c r="F112" s="2" t="s">
        <v>12</v>
      </c>
      <c r="G112" s="2" t="s">
        <v>23</v>
      </c>
      <c r="H112" s="2">
        <v>85.0</v>
      </c>
      <c r="I112" s="5" t="str">
        <f>IFERROR(VLOOKUP($C112, merchants!$A$2:$D$41, 2, FALSE), "Merchant not found")</f>
        <v>Merchant_021</v>
      </c>
      <c r="J112" s="5" t="str">
        <f>IFERROR(VLOOKUP($C112, merchants!$A$2:$D$41, 3, FALSE), "Merchant not found")</f>
        <v>food_delivery</v>
      </c>
      <c r="K112" s="5" t="str">
        <f>IFERROR(VLOOKUP($C112, merchants!$A$2:$D$41, 4, FALSE), "Merchant not found")</f>
        <v>East</v>
      </c>
      <c r="Q112" s="5">
        <f t="shared" si="1"/>
        <v>0.3</v>
      </c>
      <c r="R112" s="6">
        <f t="shared" si="2"/>
        <v>46038</v>
      </c>
      <c r="S112" s="5">
        <f t="shared" si="3"/>
        <v>799</v>
      </c>
      <c r="T112" s="5" t="str">
        <f t="shared" si="4"/>
        <v>Normal</v>
      </c>
    </row>
    <row r="113">
      <c r="A113" s="2" t="s">
        <v>230</v>
      </c>
      <c r="B113" s="2">
        <v>211.0</v>
      </c>
      <c r="C113" s="2">
        <v>32.0</v>
      </c>
      <c r="D113" s="4">
        <v>46026.222916666666</v>
      </c>
      <c r="E113" s="2">
        <v>49.0</v>
      </c>
      <c r="F113" s="2" t="s">
        <v>12</v>
      </c>
      <c r="G113" s="2" t="s">
        <v>23</v>
      </c>
      <c r="H113" s="2">
        <v>36.0</v>
      </c>
      <c r="I113" s="5" t="str">
        <f>IFERROR(VLOOKUP($C113, merchants!$A$2:$D$41, 2, FALSE), "Merchant not found")</f>
        <v>Merchant_032</v>
      </c>
      <c r="J113" s="5" t="str">
        <f>IFERROR(VLOOKUP($C113, merchants!$A$2:$D$41, 3, FALSE), "Merchant not found")</f>
        <v>food_delivery</v>
      </c>
      <c r="K113" s="5" t="str">
        <f>IFERROR(VLOOKUP($C113, merchants!$A$2:$D$41, 4, FALSE), "Merchant not found")</f>
        <v>West</v>
      </c>
      <c r="Q113" s="5">
        <f t="shared" si="1"/>
        <v>0.3</v>
      </c>
      <c r="R113" s="6">
        <f t="shared" si="2"/>
        <v>46026</v>
      </c>
      <c r="S113" s="5">
        <f t="shared" si="3"/>
        <v>49</v>
      </c>
      <c r="T113" s="5" t="str">
        <f t="shared" si="4"/>
        <v>Normal</v>
      </c>
    </row>
    <row r="114">
      <c r="A114" s="2" t="s">
        <v>231</v>
      </c>
      <c r="B114" s="2">
        <v>282.0</v>
      </c>
      <c r="C114" s="2">
        <v>3.0</v>
      </c>
      <c r="D114" s="4">
        <v>46044.53611111111</v>
      </c>
      <c r="E114" s="2">
        <v>499.0</v>
      </c>
      <c r="F114" s="2" t="s">
        <v>12</v>
      </c>
      <c r="G114" s="2" t="s">
        <v>23</v>
      </c>
      <c r="H114" s="2">
        <v>58.0</v>
      </c>
      <c r="I114" s="5" t="str">
        <f>IFERROR(VLOOKUP($C114, merchants!$A$2:$D$41, 2, FALSE), "Merchant not found")</f>
        <v>Merchant_003</v>
      </c>
      <c r="J114" s="5" t="str">
        <f>IFERROR(VLOOKUP($C114, merchants!$A$2:$D$41, 3, FALSE), "Merchant not found")</f>
        <v>grocery</v>
      </c>
      <c r="K114" s="5" t="str">
        <f>IFERROR(VLOOKUP($C114, merchants!$A$2:$D$41, 4, FALSE), "Merchant not found")</f>
        <v>East</v>
      </c>
      <c r="Q114" s="5">
        <f t="shared" si="1"/>
        <v>0.3</v>
      </c>
      <c r="R114" s="6">
        <f t="shared" si="2"/>
        <v>46044</v>
      </c>
      <c r="S114" s="5">
        <f t="shared" si="3"/>
        <v>499</v>
      </c>
      <c r="T114" s="5" t="str">
        <f t="shared" si="4"/>
        <v>Normal</v>
      </c>
    </row>
    <row r="115">
      <c r="A115" s="2" t="s">
        <v>232</v>
      </c>
      <c r="B115" s="2">
        <v>166.0</v>
      </c>
      <c r="C115" s="2">
        <v>8.0</v>
      </c>
      <c r="D115" s="4">
        <v>46025.427777777775</v>
      </c>
      <c r="E115" s="2">
        <v>299.0</v>
      </c>
      <c r="F115" s="2" t="s">
        <v>12</v>
      </c>
      <c r="G115" s="2" t="s">
        <v>23</v>
      </c>
      <c r="H115" s="2">
        <v>98.0</v>
      </c>
      <c r="I115" s="5" t="str">
        <f>IFERROR(VLOOKUP($C115, merchants!$A$2:$D$41, 2, FALSE), "Merchant not found")</f>
        <v>Merchant_008</v>
      </c>
      <c r="J115" s="5" t="str">
        <f>IFERROR(VLOOKUP($C115, merchants!$A$2:$D$41, 3, FALSE), "Merchant not found")</f>
        <v>food_delivery</v>
      </c>
      <c r="K115" s="5" t="str">
        <f>IFERROR(VLOOKUP($C115, merchants!$A$2:$D$41, 4, FALSE), "Merchant not found")</f>
        <v>North</v>
      </c>
      <c r="Q115" s="5">
        <f t="shared" si="1"/>
        <v>0.3</v>
      </c>
      <c r="R115" s="6">
        <f t="shared" si="2"/>
        <v>46025</v>
      </c>
      <c r="S115" s="5">
        <f t="shared" si="3"/>
        <v>299</v>
      </c>
      <c r="T115" s="5" t="str">
        <f t="shared" si="4"/>
        <v>Normal</v>
      </c>
    </row>
    <row r="116">
      <c r="A116" s="2" t="s">
        <v>233</v>
      </c>
      <c r="B116" s="2">
        <v>1.0</v>
      </c>
      <c r="C116" s="2">
        <v>35.0</v>
      </c>
      <c r="D116" s="4">
        <v>46035.70277777778</v>
      </c>
      <c r="E116" s="2">
        <v>149.0</v>
      </c>
      <c r="F116" s="2" t="s">
        <v>12</v>
      </c>
      <c r="G116" s="2" t="s">
        <v>23</v>
      </c>
      <c r="H116" s="2">
        <v>59.0</v>
      </c>
      <c r="I116" s="5" t="str">
        <f>IFERROR(VLOOKUP($C116, merchants!$A$2:$D$41, 2, FALSE), "Merchant not found")</f>
        <v>Merchant_035</v>
      </c>
      <c r="J116" s="5" t="str">
        <f>IFERROR(VLOOKUP($C116, merchants!$A$2:$D$41, 3, FALSE), "Merchant not found")</f>
        <v>recharge</v>
      </c>
      <c r="K116" s="5" t="str">
        <f>IFERROR(VLOOKUP($C116, merchants!$A$2:$D$41, 4, FALSE), "Merchant not found")</f>
        <v>East</v>
      </c>
      <c r="Q116" s="5">
        <f t="shared" si="1"/>
        <v>0.3</v>
      </c>
      <c r="R116" s="6">
        <f t="shared" si="2"/>
        <v>46035</v>
      </c>
      <c r="S116" s="5">
        <f t="shared" si="3"/>
        <v>149</v>
      </c>
      <c r="T116" s="5" t="str">
        <f t="shared" si="4"/>
        <v>Normal</v>
      </c>
    </row>
    <row r="117">
      <c r="A117" s="2" t="s">
        <v>234</v>
      </c>
      <c r="B117" s="2">
        <v>266.0</v>
      </c>
      <c r="C117" s="2">
        <v>24.0</v>
      </c>
      <c r="D117" s="4">
        <v>46036.05</v>
      </c>
      <c r="E117" s="2">
        <v>499.0</v>
      </c>
      <c r="F117" s="2" t="s">
        <v>12</v>
      </c>
      <c r="G117" s="2" t="s">
        <v>23</v>
      </c>
      <c r="H117" s="2">
        <v>79.0</v>
      </c>
      <c r="I117" s="5" t="str">
        <f>IFERROR(VLOOKUP($C117, merchants!$A$2:$D$41, 2, FALSE), "Merchant not found")</f>
        <v>Merchant_024</v>
      </c>
      <c r="J117" s="5" t="str">
        <f>IFERROR(VLOOKUP($C117, merchants!$A$2:$D$41, 3, FALSE), "Merchant not found")</f>
        <v>grocery</v>
      </c>
      <c r="K117" s="5" t="str">
        <f>IFERROR(VLOOKUP($C117, merchants!$A$2:$D$41, 4, FALSE), "Merchant not found")</f>
        <v>North</v>
      </c>
      <c r="Q117" s="5">
        <f t="shared" si="1"/>
        <v>0.3</v>
      </c>
      <c r="R117" s="6">
        <f t="shared" si="2"/>
        <v>46036</v>
      </c>
      <c r="S117" s="5">
        <f t="shared" si="3"/>
        <v>499</v>
      </c>
      <c r="T117" s="5" t="str">
        <f t="shared" si="4"/>
        <v>Normal</v>
      </c>
    </row>
    <row r="118">
      <c r="A118" s="2" t="s">
        <v>235</v>
      </c>
      <c r="B118" s="2">
        <v>227.0</v>
      </c>
      <c r="C118" s="2">
        <v>4.0</v>
      </c>
      <c r="D118" s="4">
        <v>46047.65277777778</v>
      </c>
      <c r="E118" s="2">
        <v>499.0</v>
      </c>
      <c r="F118" s="2" t="s">
        <v>12</v>
      </c>
      <c r="G118" s="2" t="s">
        <v>23</v>
      </c>
      <c r="H118" s="2">
        <v>26.0</v>
      </c>
      <c r="I118" s="5" t="str">
        <f>IFERROR(VLOOKUP($C118, merchants!$A$2:$D$41, 2, FALSE), "Merchant not found")</f>
        <v>Merchant_004</v>
      </c>
      <c r="J118" s="5" t="str">
        <f>IFERROR(VLOOKUP($C118, merchants!$A$2:$D$41, 3, FALSE), "Merchant not found")</f>
        <v>ecommerce</v>
      </c>
      <c r="K118" s="5" t="str">
        <f>IFERROR(VLOOKUP($C118, merchants!$A$2:$D$41, 4, FALSE), "Merchant not found")</f>
        <v>East</v>
      </c>
      <c r="Q118" s="5">
        <f t="shared" si="1"/>
        <v>0.3</v>
      </c>
      <c r="R118" s="6">
        <f t="shared" si="2"/>
        <v>46047</v>
      </c>
      <c r="S118" s="5">
        <f t="shared" si="3"/>
        <v>1998</v>
      </c>
      <c r="T118" s="5" t="str">
        <f t="shared" si="4"/>
        <v>Normal</v>
      </c>
    </row>
    <row r="119">
      <c r="A119" s="2" t="s">
        <v>236</v>
      </c>
      <c r="B119" s="2">
        <v>148.0</v>
      </c>
      <c r="C119" s="2">
        <v>29.0</v>
      </c>
      <c r="D119" s="4">
        <v>46031.71388888889</v>
      </c>
      <c r="E119" s="2">
        <v>499.0</v>
      </c>
      <c r="F119" s="2" t="s">
        <v>12</v>
      </c>
      <c r="G119" s="2" t="s">
        <v>23</v>
      </c>
      <c r="H119" s="2">
        <v>89.0</v>
      </c>
      <c r="I119" s="5" t="str">
        <f>IFERROR(VLOOKUP($C119, merchants!$A$2:$D$41, 2, FALSE), "Merchant not found")</f>
        <v>Merchant_029</v>
      </c>
      <c r="J119" s="5" t="str">
        <f>IFERROR(VLOOKUP($C119, merchants!$A$2:$D$41, 3, FALSE), "Merchant not found")</f>
        <v>ecommerce</v>
      </c>
      <c r="K119" s="5" t="str">
        <f>IFERROR(VLOOKUP($C119, merchants!$A$2:$D$41, 4, FALSE), "Merchant not found")</f>
        <v>North</v>
      </c>
      <c r="Q119" s="5">
        <f t="shared" si="1"/>
        <v>0.3</v>
      </c>
      <c r="R119" s="6">
        <f t="shared" si="2"/>
        <v>46031</v>
      </c>
      <c r="S119" s="5">
        <f t="shared" si="3"/>
        <v>499</v>
      </c>
      <c r="T119" s="5" t="str">
        <f t="shared" si="4"/>
        <v>Normal</v>
      </c>
    </row>
    <row r="120">
      <c r="A120" s="2" t="s">
        <v>237</v>
      </c>
      <c r="B120" s="2">
        <v>323.0</v>
      </c>
      <c r="C120" s="2">
        <v>39.0</v>
      </c>
      <c r="D120" s="4">
        <v>46038.12569444445</v>
      </c>
      <c r="E120" s="2">
        <v>499.0</v>
      </c>
      <c r="F120" s="2" t="s">
        <v>12</v>
      </c>
      <c r="G120" s="2" t="s">
        <v>23</v>
      </c>
      <c r="H120" s="2">
        <v>30.0</v>
      </c>
      <c r="I120" s="5" t="str">
        <f>IFERROR(VLOOKUP($C120, merchants!$A$2:$D$41, 2, FALSE), "Merchant not found")</f>
        <v>Merchant_039</v>
      </c>
      <c r="J120" s="5" t="str">
        <f>IFERROR(VLOOKUP($C120, merchants!$A$2:$D$41, 3, FALSE), "Merchant not found")</f>
        <v>entertainment</v>
      </c>
      <c r="K120" s="5" t="str">
        <f>IFERROR(VLOOKUP($C120, merchants!$A$2:$D$41, 4, FALSE), "Merchant not found")</f>
        <v>North</v>
      </c>
      <c r="Q120" s="5">
        <f t="shared" si="1"/>
        <v>0.3</v>
      </c>
      <c r="R120" s="6">
        <f t="shared" si="2"/>
        <v>46038</v>
      </c>
      <c r="S120" s="5">
        <f t="shared" si="3"/>
        <v>499</v>
      </c>
      <c r="T120" s="5" t="str">
        <f t="shared" si="4"/>
        <v>Normal</v>
      </c>
    </row>
    <row r="121">
      <c r="A121" s="2" t="s">
        <v>238</v>
      </c>
      <c r="B121" s="2">
        <v>283.0</v>
      </c>
      <c r="C121" s="2">
        <v>1.0</v>
      </c>
      <c r="D121" s="4">
        <v>46045.22152777778</v>
      </c>
      <c r="E121" s="2">
        <v>2999.0</v>
      </c>
      <c r="F121" s="2" t="s">
        <v>13</v>
      </c>
      <c r="G121" s="2" t="s">
        <v>23</v>
      </c>
      <c r="H121" s="2">
        <v>70.0</v>
      </c>
      <c r="I121" s="5" t="str">
        <f>IFERROR(VLOOKUP($C121, merchants!$A$2:$D$41, 2, FALSE), "Merchant not found")</f>
        <v>Merchant_001</v>
      </c>
      <c r="J121" s="5" t="str">
        <f>IFERROR(VLOOKUP($C121, merchants!$A$2:$D$41, 3, FALSE), "Merchant not found")</f>
        <v>ecommerce</v>
      </c>
      <c r="K121" s="5" t="str">
        <f>IFERROR(VLOOKUP($C121, merchants!$A$2:$D$41, 4, FALSE), "Merchant not found")</f>
        <v>South</v>
      </c>
      <c r="Q121" s="5">
        <f t="shared" si="1"/>
        <v>0.5</v>
      </c>
      <c r="R121" s="6">
        <f t="shared" si="2"/>
        <v>46045</v>
      </c>
      <c r="S121" s="5">
        <f t="shared" si="3"/>
        <v>3148</v>
      </c>
      <c r="T121" s="5" t="str">
        <f t="shared" si="4"/>
        <v>Normal</v>
      </c>
    </row>
    <row r="122">
      <c r="A122" s="2" t="s">
        <v>239</v>
      </c>
      <c r="B122" s="2">
        <v>59.0</v>
      </c>
      <c r="C122" s="2">
        <v>30.0</v>
      </c>
      <c r="D122" s="4">
        <v>46036.09305555555</v>
      </c>
      <c r="E122" s="2">
        <v>499.0</v>
      </c>
      <c r="F122" s="2" t="s">
        <v>12</v>
      </c>
      <c r="G122" s="2" t="s">
        <v>23</v>
      </c>
      <c r="H122" s="2">
        <v>15.0</v>
      </c>
      <c r="I122" s="5" t="str">
        <f>IFERROR(VLOOKUP($C122, merchants!$A$2:$D$41, 2, FALSE), "Merchant not found")</f>
        <v>Merchant_030</v>
      </c>
      <c r="J122" s="5" t="str">
        <f>IFERROR(VLOOKUP($C122, merchants!$A$2:$D$41, 3, FALSE), "Merchant not found")</f>
        <v>travel</v>
      </c>
      <c r="K122" s="5" t="str">
        <f>IFERROR(VLOOKUP($C122, merchants!$A$2:$D$41, 4, FALSE), "Merchant not found")</f>
        <v>West</v>
      </c>
      <c r="Q122" s="5">
        <f t="shared" si="1"/>
        <v>0.3</v>
      </c>
      <c r="R122" s="6">
        <f t="shared" si="2"/>
        <v>46036</v>
      </c>
      <c r="S122" s="5">
        <f t="shared" si="3"/>
        <v>2497</v>
      </c>
      <c r="T122" s="5" t="str">
        <f t="shared" si="4"/>
        <v>Normal</v>
      </c>
    </row>
    <row r="123">
      <c r="A123" s="2" t="s">
        <v>240</v>
      </c>
      <c r="B123" s="2">
        <v>150.0</v>
      </c>
      <c r="C123" s="2">
        <v>33.0</v>
      </c>
      <c r="D123" s="4">
        <v>46043.18819444445</v>
      </c>
      <c r="E123" s="2">
        <v>2999.0</v>
      </c>
      <c r="F123" s="2" t="s">
        <v>12</v>
      </c>
      <c r="G123" s="2" t="s">
        <v>23</v>
      </c>
      <c r="H123" s="2">
        <v>90.0</v>
      </c>
      <c r="I123" s="5" t="str">
        <f>IFERROR(VLOOKUP($C123, merchants!$A$2:$D$41, 2, FALSE), "Merchant not found")</f>
        <v>Merchant_033</v>
      </c>
      <c r="J123" s="5" t="str">
        <f>IFERROR(VLOOKUP($C123, merchants!$A$2:$D$41, 3, FALSE), "Merchant not found")</f>
        <v>bill_payment</v>
      </c>
      <c r="K123" s="5" t="str">
        <f>IFERROR(VLOOKUP($C123, merchants!$A$2:$D$41, 4, FALSE), "Merchant not found")</f>
        <v>East</v>
      </c>
      <c r="Q123" s="5">
        <f t="shared" si="1"/>
        <v>0.3</v>
      </c>
      <c r="R123" s="6">
        <f t="shared" si="2"/>
        <v>46043</v>
      </c>
      <c r="S123" s="5">
        <f t="shared" si="3"/>
        <v>3298</v>
      </c>
      <c r="T123" s="5" t="str">
        <f t="shared" si="4"/>
        <v>Normal</v>
      </c>
    </row>
    <row r="124">
      <c r="A124" s="2" t="s">
        <v>241</v>
      </c>
      <c r="B124" s="2">
        <v>248.0</v>
      </c>
      <c r="C124" s="2">
        <v>31.0</v>
      </c>
      <c r="D124" s="4">
        <v>46031.57847222222</v>
      </c>
      <c r="E124" s="2">
        <v>1499.0</v>
      </c>
      <c r="F124" s="2" t="s">
        <v>12</v>
      </c>
      <c r="G124" s="2" t="s">
        <v>61</v>
      </c>
      <c r="H124" s="2">
        <v>31.0</v>
      </c>
      <c r="I124" s="5" t="str">
        <f>IFERROR(VLOOKUP($C124, merchants!$A$2:$D$41, 2, FALSE), "Merchant not found")</f>
        <v>Merchant_031</v>
      </c>
      <c r="J124" s="5" t="str">
        <f>IFERROR(VLOOKUP($C124, merchants!$A$2:$D$41, 3, FALSE), "Merchant not found")</f>
        <v>bill_payment</v>
      </c>
      <c r="K124" s="5" t="str">
        <f>IFERROR(VLOOKUP($C124, merchants!$A$2:$D$41, 4, FALSE), "Merchant not found")</f>
        <v>East</v>
      </c>
      <c r="Q124" s="5">
        <f t="shared" si="1"/>
        <v>0.3</v>
      </c>
      <c r="R124" s="6">
        <f t="shared" si="2"/>
        <v>46031</v>
      </c>
      <c r="S124" s="5">
        <f t="shared" si="3"/>
        <v>1499</v>
      </c>
      <c r="T124" s="5" t="str">
        <f t="shared" si="4"/>
        <v>Normal</v>
      </c>
    </row>
    <row r="125">
      <c r="A125" s="2" t="s">
        <v>242</v>
      </c>
      <c r="B125" s="2">
        <v>197.0</v>
      </c>
      <c r="C125" s="2">
        <v>13.0</v>
      </c>
      <c r="D125" s="4">
        <v>46037.714583333334</v>
      </c>
      <c r="E125" s="2">
        <v>49.0</v>
      </c>
      <c r="F125" s="2" t="s">
        <v>12</v>
      </c>
      <c r="G125" s="2" t="s">
        <v>23</v>
      </c>
      <c r="H125" s="2">
        <v>76.0</v>
      </c>
      <c r="I125" s="5" t="str">
        <f>IFERROR(VLOOKUP($C125, merchants!$A$2:$D$41, 2, FALSE), "Merchant not found")</f>
        <v>Merchant_013</v>
      </c>
      <c r="J125" s="5" t="str">
        <f>IFERROR(VLOOKUP($C125, merchants!$A$2:$D$41, 3, FALSE), "Merchant not found")</f>
        <v>travel</v>
      </c>
      <c r="K125" s="5" t="str">
        <f>IFERROR(VLOOKUP($C125, merchants!$A$2:$D$41, 4, FALSE), "Merchant not found")</f>
        <v>East</v>
      </c>
      <c r="Q125" s="5">
        <f t="shared" si="1"/>
        <v>0.3</v>
      </c>
      <c r="R125" s="6">
        <f t="shared" si="2"/>
        <v>46037</v>
      </c>
      <c r="S125" s="5">
        <f t="shared" si="3"/>
        <v>49</v>
      </c>
      <c r="T125" s="5" t="str">
        <f t="shared" si="4"/>
        <v>Normal</v>
      </c>
    </row>
    <row r="126">
      <c r="A126" s="2" t="s">
        <v>243</v>
      </c>
      <c r="B126" s="2">
        <v>70.0</v>
      </c>
      <c r="C126" s="2">
        <v>5.0</v>
      </c>
      <c r="D126" s="4">
        <v>46039.99722222222</v>
      </c>
      <c r="E126" s="2">
        <v>499.0</v>
      </c>
      <c r="F126" s="2" t="s">
        <v>12</v>
      </c>
      <c r="G126" s="2" t="s">
        <v>23</v>
      </c>
      <c r="H126" s="2">
        <v>35.0</v>
      </c>
      <c r="I126" s="5" t="str">
        <f>IFERROR(VLOOKUP($C126, merchants!$A$2:$D$41, 2, FALSE), "Merchant not found")</f>
        <v>Merchant_005</v>
      </c>
      <c r="J126" s="5" t="str">
        <f>IFERROR(VLOOKUP($C126, merchants!$A$2:$D$41, 3, FALSE), "Merchant not found")</f>
        <v>recharge</v>
      </c>
      <c r="K126" s="5" t="str">
        <f>IFERROR(VLOOKUP($C126, merchants!$A$2:$D$41, 4, FALSE), "Merchant not found")</f>
        <v>South</v>
      </c>
      <c r="Q126" s="5">
        <f t="shared" si="1"/>
        <v>0.3</v>
      </c>
      <c r="R126" s="6">
        <f t="shared" si="2"/>
        <v>46039</v>
      </c>
      <c r="S126" s="5">
        <f t="shared" si="3"/>
        <v>499</v>
      </c>
      <c r="T126" s="5" t="str">
        <f t="shared" si="4"/>
        <v>Normal</v>
      </c>
    </row>
    <row r="127">
      <c r="A127" s="2" t="s">
        <v>244</v>
      </c>
      <c r="B127" s="2">
        <v>260.0</v>
      </c>
      <c r="C127" s="2">
        <v>18.0</v>
      </c>
      <c r="D127" s="4">
        <v>46047.55625</v>
      </c>
      <c r="E127" s="2">
        <v>1499.0</v>
      </c>
      <c r="F127" s="2" t="s">
        <v>12</v>
      </c>
      <c r="G127" s="2" t="s">
        <v>23</v>
      </c>
      <c r="H127" s="2">
        <v>0.0</v>
      </c>
      <c r="I127" s="5" t="str">
        <f>IFERROR(VLOOKUP($C127, merchants!$A$2:$D$41, 2, FALSE), "Merchant not found")</f>
        <v>Merchant_018</v>
      </c>
      <c r="J127" s="5" t="str">
        <f>IFERROR(VLOOKUP($C127, merchants!$A$2:$D$41, 3, FALSE), "Merchant not found")</f>
        <v>grocery</v>
      </c>
      <c r="K127" s="5" t="str">
        <f>IFERROR(VLOOKUP($C127, merchants!$A$2:$D$41, 4, FALSE), "Merchant not found")</f>
        <v>West</v>
      </c>
      <c r="Q127" s="5">
        <f t="shared" si="1"/>
        <v>0.3</v>
      </c>
      <c r="R127" s="6">
        <f t="shared" si="2"/>
        <v>46047</v>
      </c>
      <c r="S127" s="5">
        <f t="shared" si="3"/>
        <v>1648</v>
      </c>
      <c r="T127" s="5" t="str">
        <f t="shared" si="4"/>
        <v>Normal</v>
      </c>
    </row>
    <row r="128">
      <c r="A128" s="2" t="s">
        <v>245</v>
      </c>
      <c r="B128" s="2">
        <v>301.0</v>
      </c>
      <c r="C128" s="2">
        <v>38.0</v>
      </c>
      <c r="D128" s="4">
        <v>46032.97152777778</v>
      </c>
      <c r="E128" s="2">
        <v>99.0</v>
      </c>
      <c r="F128" s="2" t="s">
        <v>12</v>
      </c>
      <c r="G128" s="2" t="s">
        <v>23</v>
      </c>
      <c r="H128" s="2">
        <v>84.0</v>
      </c>
      <c r="I128" s="5" t="str">
        <f>IFERROR(VLOOKUP($C128, merchants!$A$2:$D$41, 2, FALSE), "Merchant not found")</f>
        <v>Merchant_038</v>
      </c>
      <c r="J128" s="5" t="str">
        <f>IFERROR(VLOOKUP($C128, merchants!$A$2:$D$41, 3, FALSE), "Merchant not found")</f>
        <v>grocery</v>
      </c>
      <c r="K128" s="5" t="str">
        <f>IFERROR(VLOOKUP($C128, merchants!$A$2:$D$41, 4, FALSE), "Merchant not found")</f>
        <v>East</v>
      </c>
      <c r="Q128" s="5">
        <f t="shared" si="1"/>
        <v>0.3</v>
      </c>
      <c r="R128" s="6">
        <f t="shared" si="2"/>
        <v>46032</v>
      </c>
      <c r="S128" s="5">
        <f t="shared" si="3"/>
        <v>398</v>
      </c>
      <c r="T128" s="5" t="str">
        <f t="shared" si="4"/>
        <v>Normal</v>
      </c>
    </row>
    <row r="129">
      <c r="A129" s="2" t="s">
        <v>246</v>
      </c>
      <c r="B129" s="2">
        <v>276.0</v>
      </c>
      <c r="C129" s="2">
        <v>31.0</v>
      </c>
      <c r="D129" s="4">
        <v>46038.186111111114</v>
      </c>
      <c r="E129" s="2">
        <v>499.0</v>
      </c>
      <c r="F129" s="2" t="s">
        <v>14</v>
      </c>
      <c r="G129" s="2" t="s">
        <v>23</v>
      </c>
      <c r="H129" s="2">
        <v>44.0</v>
      </c>
      <c r="I129" s="5" t="str">
        <f>IFERROR(VLOOKUP($C129, merchants!$A$2:$D$41, 2, FALSE), "Merchant not found")</f>
        <v>Merchant_031</v>
      </c>
      <c r="J129" s="5" t="str">
        <f>IFERROR(VLOOKUP($C129, merchants!$A$2:$D$41, 3, FALSE), "Merchant not found")</f>
        <v>bill_payment</v>
      </c>
      <c r="K129" s="5" t="str">
        <f>IFERROR(VLOOKUP($C129, merchants!$A$2:$D$41, 4, FALSE), "Merchant not found")</f>
        <v>East</v>
      </c>
      <c r="Q129" s="5">
        <f t="shared" si="1"/>
        <v>1.5</v>
      </c>
      <c r="R129" s="6">
        <f t="shared" si="2"/>
        <v>46038</v>
      </c>
      <c r="S129" s="5">
        <f t="shared" si="3"/>
        <v>499</v>
      </c>
      <c r="T129" s="5" t="str">
        <f t="shared" si="4"/>
        <v>Normal</v>
      </c>
    </row>
    <row r="130">
      <c r="A130" s="2" t="s">
        <v>247</v>
      </c>
      <c r="B130" s="2">
        <v>279.0</v>
      </c>
      <c r="C130" s="2">
        <v>25.0</v>
      </c>
      <c r="D130" s="4">
        <v>46033.74166666667</v>
      </c>
      <c r="E130" s="2">
        <v>799.0</v>
      </c>
      <c r="F130" s="2" t="s">
        <v>12</v>
      </c>
      <c r="G130" s="2" t="s">
        <v>23</v>
      </c>
      <c r="H130" s="2">
        <v>58.0</v>
      </c>
      <c r="I130" s="5" t="str">
        <f>IFERROR(VLOOKUP($C130, merchants!$A$2:$D$41, 2, FALSE), "Merchant not found")</f>
        <v>Merchant_025</v>
      </c>
      <c r="J130" s="5" t="str">
        <f>IFERROR(VLOOKUP($C130, merchants!$A$2:$D$41, 3, FALSE), "Merchant not found")</f>
        <v>travel</v>
      </c>
      <c r="K130" s="5" t="str">
        <f>IFERROR(VLOOKUP($C130, merchants!$A$2:$D$41, 4, FALSE), "Merchant not found")</f>
        <v>South</v>
      </c>
      <c r="Q130" s="5">
        <f t="shared" si="1"/>
        <v>0.3</v>
      </c>
      <c r="R130" s="6">
        <f t="shared" si="2"/>
        <v>46033</v>
      </c>
      <c r="S130" s="5">
        <f t="shared" si="3"/>
        <v>799</v>
      </c>
      <c r="T130" s="5" t="str">
        <f t="shared" si="4"/>
        <v>Normal</v>
      </c>
    </row>
    <row r="131">
      <c r="A131" s="2" t="s">
        <v>248</v>
      </c>
      <c r="B131" s="2">
        <v>97.0</v>
      </c>
      <c r="C131" s="2">
        <v>16.0</v>
      </c>
      <c r="D131" s="4">
        <v>46052.45486111111</v>
      </c>
      <c r="E131" s="2">
        <v>799.0</v>
      </c>
      <c r="F131" s="2" t="s">
        <v>14</v>
      </c>
      <c r="G131" s="2" t="s">
        <v>23</v>
      </c>
      <c r="H131" s="2">
        <v>73.0</v>
      </c>
      <c r="I131" s="5" t="str">
        <f>IFERROR(VLOOKUP($C131, merchants!$A$2:$D$41, 2, FALSE), "Merchant not found")</f>
        <v>Merchant_016</v>
      </c>
      <c r="J131" s="5" t="str">
        <f>IFERROR(VLOOKUP($C131, merchants!$A$2:$D$41, 3, FALSE), "Merchant not found")</f>
        <v>bill_payment</v>
      </c>
      <c r="K131" s="5" t="str">
        <f>IFERROR(VLOOKUP($C131, merchants!$A$2:$D$41, 4, FALSE), "Merchant not found")</f>
        <v>West</v>
      </c>
      <c r="Q131" s="5">
        <f t="shared" si="1"/>
        <v>1.5</v>
      </c>
      <c r="R131" s="6">
        <f t="shared" si="2"/>
        <v>46052</v>
      </c>
      <c r="S131" s="5">
        <f t="shared" si="3"/>
        <v>898</v>
      </c>
      <c r="T131" s="5" t="str">
        <f t="shared" si="4"/>
        <v>Normal</v>
      </c>
    </row>
    <row r="132">
      <c r="A132" s="2" t="s">
        <v>249</v>
      </c>
      <c r="B132" s="2">
        <v>211.0</v>
      </c>
      <c r="C132" s="2">
        <v>3.0</v>
      </c>
      <c r="D132" s="4">
        <v>46035.32916666667</v>
      </c>
      <c r="E132" s="2">
        <v>149.0</v>
      </c>
      <c r="F132" s="2" t="s">
        <v>12</v>
      </c>
      <c r="G132" s="2" t="s">
        <v>69</v>
      </c>
      <c r="H132" s="2">
        <v>40.0</v>
      </c>
      <c r="I132" s="5" t="str">
        <f>IFERROR(VLOOKUP($C132, merchants!$A$2:$D$41, 2, FALSE), "Merchant not found")</f>
        <v>Merchant_003</v>
      </c>
      <c r="J132" s="5" t="str">
        <f>IFERROR(VLOOKUP($C132, merchants!$A$2:$D$41, 3, FALSE), "Merchant not found")</f>
        <v>grocery</v>
      </c>
      <c r="K132" s="5" t="str">
        <f>IFERROR(VLOOKUP($C132, merchants!$A$2:$D$41, 4, FALSE), "Merchant not found")</f>
        <v>East</v>
      </c>
      <c r="Q132" s="5">
        <f t="shared" si="1"/>
        <v>0.3</v>
      </c>
      <c r="R132" s="6">
        <f t="shared" si="2"/>
        <v>46035</v>
      </c>
      <c r="S132" s="5">
        <f t="shared" si="3"/>
        <v>198</v>
      </c>
      <c r="T132" s="5" t="str">
        <f t="shared" si="4"/>
        <v>Normal</v>
      </c>
    </row>
    <row r="133">
      <c r="A133" s="2" t="s">
        <v>250</v>
      </c>
      <c r="B133" s="2">
        <v>196.0</v>
      </c>
      <c r="C133" s="2">
        <v>25.0</v>
      </c>
      <c r="D133" s="4">
        <v>46046.65625</v>
      </c>
      <c r="E133" s="2">
        <v>149.0</v>
      </c>
      <c r="F133" s="2" t="s">
        <v>15</v>
      </c>
      <c r="G133" s="2" t="s">
        <v>23</v>
      </c>
      <c r="H133" s="2">
        <v>84.0</v>
      </c>
      <c r="I133" s="5" t="str">
        <f>IFERROR(VLOOKUP($C133, merchants!$A$2:$D$41, 2, FALSE), "Merchant not found")</f>
        <v>Merchant_025</v>
      </c>
      <c r="J133" s="5" t="str">
        <f>IFERROR(VLOOKUP($C133, merchants!$A$2:$D$41, 3, FALSE), "Merchant not found")</f>
        <v>travel</v>
      </c>
      <c r="K133" s="5" t="str">
        <f>IFERROR(VLOOKUP($C133, merchants!$A$2:$D$41, 4, FALSE), "Merchant not found")</f>
        <v>South</v>
      </c>
      <c r="Q133" s="5">
        <f t="shared" si="1"/>
        <v>0.9</v>
      </c>
      <c r="R133" s="6">
        <f t="shared" si="2"/>
        <v>46046</v>
      </c>
      <c r="S133" s="5">
        <f t="shared" si="3"/>
        <v>497</v>
      </c>
      <c r="T133" s="5" t="str">
        <f t="shared" si="4"/>
        <v>Normal</v>
      </c>
    </row>
    <row r="134">
      <c r="A134" s="2" t="s">
        <v>251</v>
      </c>
      <c r="B134" s="2">
        <v>254.0</v>
      </c>
      <c r="C134" s="2">
        <v>3.0</v>
      </c>
      <c r="D134" s="4">
        <v>46048.839583333334</v>
      </c>
      <c r="E134" s="2">
        <v>149.0</v>
      </c>
      <c r="F134" s="2" t="s">
        <v>14</v>
      </c>
      <c r="G134" s="2" t="s">
        <v>23</v>
      </c>
      <c r="H134" s="2">
        <v>16.0</v>
      </c>
      <c r="I134" s="5" t="str">
        <f>IFERROR(VLOOKUP($C134, merchants!$A$2:$D$41, 2, FALSE), "Merchant not found")</f>
        <v>Merchant_003</v>
      </c>
      <c r="J134" s="5" t="str">
        <f>IFERROR(VLOOKUP($C134, merchants!$A$2:$D$41, 3, FALSE), "Merchant not found")</f>
        <v>grocery</v>
      </c>
      <c r="K134" s="5" t="str">
        <f>IFERROR(VLOOKUP($C134, merchants!$A$2:$D$41, 4, FALSE), "Merchant not found")</f>
        <v>East</v>
      </c>
      <c r="Q134" s="5">
        <f t="shared" si="1"/>
        <v>1.5</v>
      </c>
      <c r="R134" s="6">
        <f t="shared" si="2"/>
        <v>46048</v>
      </c>
      <c r="S134" s="5">
        <f t="shared" si="3"/>
        <v>149</v>
      </c>
      <c r="T134" s="5" t="str">
        <f t="shared" si="4"/>
        <v>Normal</v>
      </c>
    </row>
    <row r="135">
      <c r="A135" s="2" t="s">
        <v>252</v>
      </c>
      <c r="B135" s="2">
        <v>52.0</v>
      </c>
      <c r="C135" s="2">
        <v>29.0</v>
      </c>
      <c r="D135" s="4">
        <v>46039.76458333333</v>
      </c>
      <c r="E135" s="2">
        <v>49.0</v>
      </c>
      <c r="F135" s="2" t="s">
        <v>15</v>
      </c>
      <c r="G135" s="2" t="s">
        <v>23</v>
      </c>
      <c r="H135" s="2">
        <v>12.0</v>
      </c>
      <c r="I135" s="5" t="str">
        <f>IFERROR(VLOOKUP($C135, merchants!$A$2:$D$41, 2, FALSE), "Merchant not found")</f>
        <v>Merchant_029</v>
      </c>
      <c r="J135" s="5" t="str">
        <f>IFERROR(VLOOKUP($C135, merchants!$A$2:$D$41, 3, FALSE), "Merchant not found")</f>
        <v>ecommerce</v>
      </c>
      <c r="K135" s="5" t="str">
        <f>IFERROR(VLOOKUP($C135, merchants!$A$2:$D$41, 4, FALSE), "Merchant not found")</f>
        <v>North</v>
      </c>
      <c r="Q135" s="5">
        <f t="shared" si="1"/>
        <v>0.9</v>
      </c>
      <c r="R135" s="6">
        <f t="shared" si="2"/>
        <v>46039</v>
      </c>
      <c r="S135" s="5">
        <f t="shared" si="3"/>
        <v>49</v>
      </c>
      <c r="T135" s="5" t="str">
        <f t="shared" si="4"/>
        <v>Normal</v>
      </c>
    </row>
    <row r="136">
      <c r="A136" s="2" t="s">
        <v>253</v>
      </c>
      <c r="B136" s="2">
        <v>74.0</v>
      </c>
      <c r="C136" s="2">
        <v>27.0</v>
      </c>
      <c r="D136" s="4">
        <v>46039.583333333336</v>
      </c>
      <c r="E136" s="2">
        <v>799.0</v>
      </c>
      <c r="F136" s="2" t="s">
        <v>12</v>
      </c>
      <c r="G136" s="2" t="s">
        <v>23</v>
      </c>
      <c r="H136" s="2">
        <v>83.0</v>
      </c>
      <c r="I136" s="5" t="str">
        <f>IFERROR(VLOOKUP($C136, merchants!$A$2:$D$41, 2, FALSE), "Merchant not found")</f>
        <v>Merchant_027</v>
      </c>
      <c r="J136" s="5" t="str">
        <f>IFERROR(VLOOKUP($C136, merchants!$A$2:$D$41, 3, FALSE), "Merchant not found")</f>
        <v>ecommerce</v>
      </c>
      <c r="K136" s="5" t="str">
        <f>IFERROR(VLOOKUP($C136, merchants!$A$2:$D$41, 4, FALSE), "Merchant not found")</f>
        <v>North</v>
      </c>
      <c r="Q136" s="5">
        <f t="shared" si="1"/>
        <v>0.3</v>
      </c>
      <c r="R136" s="6">
        <f t="shared" si="2"/>
        <v>46039</v>
      </c>
      <c r="S136" s="5">
        <f t="shared" si="3"/>
        <v>1597</v>
      </c>
      <c r="T136" s="5" t="str">
        <f t="shared" si="4"/>
        <v>Normal</v>
      </c>
    </row>
    <row r="137">
      <c r="A137" s="2" t="s">
        <v>254</v>
      </c>
      <c r="B137" s="2">
        <v>136.0</v>
      </c>
      <c r="C137" s="2">
        <v>22.0</v>
      </c>
      <c r="D137" s="4">
        <v>46027.104166666664</v>
      </c>
      <c r="E137" s="2">
        <v>149.0</v>
      </c>
      <c r="F137" s="2" t="s">
        <v>12</v>
      </c>
      <c r="G137" s="2" t="s">
        <v>23</v>
      </c>
      <c r="H137" s="2">
        <v>79.0</v>
      </c>
      <c r="I137" s="5" t="str">
        <f>IFERROR(VLOOKUP($C137, merchants!$A$2:$D$41, 2, FALSE), "Merchant not found")</f>
        <v>Merchant_022</v>
      </c>
      <c r="J137" s="5" t="str">
        <f>IFERROR(VLOOKUP($C137, merchants!$A$2:$D$41, 3, FALSE), "Merchant not found")</f>
        <v>travel</v>
      </c>
      <c r="K137" s="5" t="str">
        <f>IFERROR(VLOOKUP($C137, merchants!$A$2:$D$41, 4, FALSE), "Merchant not found")</f>
        <v>South</v>
      </c>
      <c r="Q137" s="5">
        <f t="shared" si="1"/>
        <v>0.3</v>
      </c>
      <c r="R137" s="6">
        <f t="shared" si="2"/>
        <v>46027</v>
      </c>
      <c r="S137" s="5">
        <f t="shared" si="3"/>
        <v>448</v>
      </c>
      <c r="T137" s="5" t="str">
        <f t="shared" si="4"/>
        <v>Normal</v>
      </c>
    </row>
    <row r="138">
      <c r="A138" s="2" t="s">
        <v>255</v>
      </c>
      <c r="B138" s="2">
        <v>42.0</v>
      </c>
      <c r="C138" s="2">
        <v>22.0</v>
      </c>
      <c r="D138" s="4">
        <v>46045.52847222222</v>
      </c>
      <c r="E138" s="2">
        <v>49.0</v>
      </c>
      <c r="F138" s="2" t="s">
        <v>12</v>
      </c>
      <c r="G138" s="2" t="s">
        <v>23</v>
      </c>
      <c r="H138" s="2">
        <v>86.0</v>
      </c>
      <c r="I138" s="5" t="str">
        <f>IFERROR(VLOOKUP($C138, merchants!$A$2:$D$41, 2, FALSE), "Merchant not found")</f>
        <v>Merchant_022</v>
      </c>
      <c r="J138" s="5" t="str">
        <f>IFERROR(VLOOKUP($C138, merchants!$A$2:$D$41, 3, FALSE), "Merchant not found")</f>
        <v>travel</v>
      </c>
      <c r="K138" s="5" t="str">
        <f>IFERROR(VLOOKUP($C138, merchants!$A$2:$D$41, 4, FALSE), "Merchant not found")</f>
        <v>South</v>
      </c>
      <c r="Q138" s="5">
        <f t="shared" si="1"/>
        <v>0.3</v>
      </c>
      <c r="R138" s="6">
        <f t="shared" si="2"/>
        <v>46045</v>
      </c>
      <c r="S138" s="5">
        <f t="shared" si="3"/>
        <v>49</v>
      </c>
      <c r="T138" s="5" t="str">
        <f t="shared" si="4"/>
        <v>Normal</v>
      </c>
    </row>
    <row r="139">
      <c r="A139" s="2" t="s">
        <v>256</v>
      </c>
      <c r="B139" s="2">
        <v>163.0</v>
      </c>
      <c r="C139" s="2">
        <v>32.0</v>
      </c>
      <c r="D139" s="4">
        <v>46050.725</v>
      </c>
      <c r="E139" s="2">
        <v>2999.0</v>
      </c>
      <c r="F139" s="2" t="s">
        <v>13</v>
      </c>
      <c r="G139" s="2" t="s">
        <v>61</v>
      </c>
      <c r="H139" s="2">
        <v>69.0</v>
      </c>
      <c r="I139" s="5" t="str">
        <f>IFERROR(VLOOKUP($C139, merchants!$A$2:$D$41, 2, FALSE), "Merchant not found")</f>
        <v>Merchant_032</v>
      </c>
      <c r="J139" s="5" t="str">
        <f>IFERROR(VLOOKUP($C139, merchants!$A$2:$D$41, 3, FALSE), "Merchant not found")</f>
        <v>food_delivery</v>
      </c>
      <c r="K139" s="5" t="str">
        <f>IFERROR(VLOOKUP($C139, merchants!$A$2:$D$41, 4, FALSE), "Merchant not found")</f>
        <v>West</v>
      </c>
      <c r="Q139" s="5">
        <f t="shared" si="1"/>
        <v>0.5</v>
      </c>
      <c r="R139" s="6">
        <f t="shared" si="2"/>
        <v>46050</v>
      </c>
      <c r="S139" s="5">
        <f t="shared" si="3"/>
        <v>2999</v>
      </c>
      <c r="T139" s="5" t="str">
        <f t="shared" si="4"/>
        <v>Normal</v>
      </c>
    </row>
    <row r="140">
      <c r="A140" s="2" t="s">
        <v>257</v>
      </c>
      <c r="B140" s="2">
        <v>121.0</v>
      </c>
      <c r="C140" s="2">
        <v>19.0</v>
      </c>
      <c r="D140" s="4">
        <v>46024.794444444444</v>
      </c>
      <c r="E140" s="2">
        <v>149.0</v>
      </c>
      <c r="F140" s="2" t="s">
        <v>12</v>
      </c>
      <c r="G140" s="2" t="s">
        <v>23</v>
      </c>
      <c r="H140" s="2">
        <v>29.0</v>
      </c>
      <c r="I140" s="5" t="str">
        <f>IFERROR(VLOOKUP($C140, merchants!$A$2:$D$41, 2, FALSE), "Merchant not found")</f>
        <v>Merchant_019</v>
      </c>
      <c r="J140" s="5" t="str">
        <f>IFERROR(VLOOKUP($C140, merchants!$A$2:$D$41, 3, FALSE), "Merchant not found")</f>
        <v>grocery</v>
      </c>
      <c r="K140" s="5" t="str">
        <f>IFERROR(VLOOKUP($C140, merchants!$A$2:$D$41, 4, FALSE), "Merchant not found")</f>
        <v>North</v>
      </c>
      <c r="Q140" s="5">
        <f t="shared" si="1"/>
        <v>0.3</v>
      </c>
      <c r="R140" s="6">
        <f t="shared" si="2"/>
        <v>46024</v>
      </c>
      <c r="S140" s="5">
        <f t="shared" si="3"/>
        <v>149</v>
      </c>
      <c r="T140" s="5" t="str">
        <f t="shared" si="4"/>
        <v>Normal</v>
      </c>
    </row>
    <row r="141">
      <c r="A141" s="2" t="s">
        <v>258</v>
      </c>
      <c r="B141" s="2">
        <v>51.0</v>
      </c>
      <c r="C141" s="2">
        <v>7.0</v>
      </c>
      <c r="D141" s="4">
        <v>46046.10208333333</v>
      </c>
      <c r="E141" s="2">
        <v>499.0</v>
      </c>
      <c r="F141" s="2" t="s">
        <v>14</v>
      </c>
      <c r="G141" s="2" t="s">
        <v>23</v>
      </c>
      <c r="H141" s="2">
        <v>56.0</v>
      </c>
      <c r="I141" s="5" t="str">
        <f>IFERROR(VLOOKUP($C141, merchants!$A$2:$D$41, 2, FALSE), "Merchant not found")</f>
        <v>Merchant_007</v>
      </c>
      <c r="J141" s="5" t="str">
        <f>IFERROR(VLOOKUP($C141, merchants!$A$2:$D$41, 3, FALSE), "Merchant not found")</f>
        <v>food_delivery</v>
      </c>
      <c r="K141" s="5" t="str">
        <f>IFERROR(VLOOKUP($C141, merchants!$A$2:$D$41, 4, FALSE), "Merchant not found")</f>
        <v>East</v>
      </c>
      <c r="Q141" s="5">
        <f t="shared" si="1"/>
        <v>1.5</v>
      </c>
      <c r="R141" s="6">
        <f t="shared" si="2"/>
        <v>46046</v>
      </c>
      <c r="S141" s="5">
        <f t="shared" si="3"/>
        <v>1298</v>
      </c>
      <c r="T141" s="5" t="str">
        <f t="shared" si="4"/>
        <v>Normal</v>
      </c>
    </row>
    <row r="142">
      <c r="A142" s="2" t="s">
        <v>259</v>
      </c>
      <c r="B142" s="2">
        <v>15.0</v>
      </c>
      <c r="C142" s="2">
        <v>3.0</v>
      </c>
      <c r="D142" s="4">
        <v>46028.92986111111</v>
      </c>
      <c r="E142" s="2">
        <v>799.0</v>
      </c>
      <c r="F142" s="2" t="s">
        <v>12</v>
      </c>
      <c r="G142" s="2" t="s">
        <v>23</v>
      </c>
      <c r="H142" s="2">
        <v>41.0</v>
      </c>
      <c r="I142" s="5" t="str">
        <f>IFERROR(VLOOKUP($C142, merchants!$A$2:$D$41, 2, FALSE), "Merchant not found")</f>
        <v>Merchant_003</v>
      </c>
      <c r="J142" s="5" t="str">
        <f>IFERROR(VLOOKUP($C142, merchants!$A$2:$D$41, 3, FALSE), "Merchant not found")</f>
        <v>grocery</v>
      </c>
      <c r="K142" s="5" t="str">
        <f>IFERROR(VLOOKUP($C142, merchants!$A$2:$D$41, 4, FALSE), "Merchant not found")</f>
        <v>East</v>
      </c>
      <c r="Q142" s="5">
        <f t="shared" si="1"/>
        <v>0.3</v>
      </c>
      <c r="R142" s="6">
        <f t="shared" si="2"/>
        <v>46028</v>
      </c>
      <c r="S142" s="5">
        <f t="shared" si="3"/>
        <v>898</v>
      </c>
      <c r="T142" s="5" t="str">
        <f t="shared" si="4"/>
        <v>Normal</v>
      </c>
    </row>
    <row r="143">
      <c r="A143" s="2" t="s">
        <v>260</v>
      </c>
      <c r="B143" s="2">
        <v>184.0</v>
      </c>
      <c r="C143" s="2">
        <v>24.0</v>
      </c>
      <c r="D143" s="4">
        <v>46048.05416666667</v>
      </c>
      <c r="E143" s="2">
        <v>49.0</v>
      </c>
      <c r="F143" s="2" t="s">
        <v>12</v>
      </c>
      <c r="G143" s="2" t="s">
        <v>23</v>
      </c>
      <c r="H143" s="2">
        <v>55.0</v>
      </c>
      <c r="I143" s="5" t="str">
        <f>IFERROR(VLOOKUP($C143, merchants!$A$2:$D$41, 2, FALSE), "Merchant not found")</f>
        <v>Merchant_024</v>
      </c>
      <c r="J143" s="5" t="str">
        <f>IFERROR(VLOOKUP($C143, merchants!$A$2:$D$41, 3, FALSE), "Merchant not found")</f>
        <v>grocery</v>
      </c>
      <c r="K143" s="5" t="str">
        <f>IFERROR(VLOOKUP($C143, merchants!$A$2:$D$41, 4, FALSE), "Merchant not found")</f>
        <v>North</v>
      </c>
      <c r="Q143" s="5">
        <f t="shared" si="1"/>
        <v>0.3</v>
      </c>
      <c r="R143" s="6">
        <f t="shared" si="2"/>
        <v>46048</v>
      </c>
      <c r="S143" s="5">
        <f t="shared" si="3"/>
        <v>348</v>
      </c>
      <c r="T143" s="5" t="str">
        <f t="shared" si="4"/>
        <v>Normal</v>
      </c>
    </row>
    <row r="144">
      <c r="A144" s="2" t="s">
        <v>261</v>
      </c>
      <c r="B144" s="2">
        <v>211.0</v>
      </c>
      <c r="C144" s="2">
        <v>37.0</v>
      </c>
      <c r="D144" s="4">
        <v>46027.31458333333</v>
      </c>
      <c r="E144" s="2">
        <v>1499.0</v>
      </c>
      <c r="F144" s="2" t="s">
        <v>12</v>
      </c>
      <c r="G144" s="2" t="s">
        <v>23</v>
      </c>
      <c r="H144" s="2">
        <v>87.0</v>
      </c>
      <c r="I144" s="5" t="str">
        <f>IFERROR(VLOOKUP($C144, merchants!$A$2:$D$41, 2, FALSE), "Merchant not found")</f>
        <v>Merchant_037</v>
      </c>
      <c r="J144" s="5" t="str">
        <f>IFERROR(VLOOKUP($C144, merchants!$A$2:$D$41, 3, FALSE), "Merchant not found")</f>
        <v>entertainment</v>
      </c>
      <c r="K144" s="5" t="str">
        <f>IFERROR(VLOOKUP($C144, merchants!$A$2:$D$41, 4, FALSE), "Merchant not found")</f>
        <v>South</v>
      </c>
      <c r="Q144" s="5">
        <f t="shared" si="1"/>
        <v>0.3</v>
      </c>
      <c r="R144" s="6">
        <f t="shared" si="2"/>
        <v>46027</v>
      </c>
      <c r="S144" s="5">
        <f t="shared" si="3"/>
        <v>1499</v>
      </c>
      <c r="T144" s="5" t="str">
        <f t="shared" si="4"/>
        <v>Normal</v>
      </c>
    </row>
    <row r="145">
      <c r="A145" s="2" t="s">
        <v>262</v>
      </c>
      <c r="B145" s="2">
        <v>90.0</v>
      </c>
      <c r="C145" s="2">
        <v>6.0</v>
      </c>
      <c r="D145" s="4">
        <v>46048.21527777778</v>
      </c>
      <c r="E145" s="2">
        <v>49.0</v>
      </c>
      <c r="F145" s="2" t="s">
        <v>14</v>
      </c>
      <c r="G145" s="2" t="s">
        <v>23</v>
      </c>
      <c r="H145" s="2">
        <v>78.0</v>
      </c>
      <c r="I145" s="5" t="str">
        <f>IFERROR(VLOOKUP($C145, merchants!$A$2:$D$41, 2, FALSE), "Merchant not found")</f>
        <v>Merchant_006</v>
      </c>
      <c r="J145" s="5" t="str">
        <f>IFERROR(VLOOKUP($C145, merchants!$A$2:$D$41, 3, FALSE), "Merchant not found")</f>
        <v>food_delivery</v>
      </c>
      <c r="K145" s="5" t="str">
        <f>IFERROR(VLOOKUP($C145, merchants!$A$2:$D$41, 4, FALSE), "Merchant not found")</f>
        <v>South</v>
      </c>
      <c r="Q145" s="5">
        <f t="shared" si="1"/>
        <v>1.5</v>
      </c>
      <c r="R145" s="6">
        <f t="shared" si="2"/>
        <v>46048</v>
      </c>
      <c r="S145" s="5">
        <f t="shared" si="3"/>
        <v>897</v>
      </c>
      <c r="T145" s="5" t="str">
        <f t="shared" si="4"/>
        <v>Normal</v>
      </c>
    </row>
    <row r="146">
      <c r="A146" s="2" t="s">
        <v>263</v>
      </c>
      <c r="B146" s="2">
        <v>350.0</v>
      </c>
      <c r="C146" s="2">
        <v>16.0</v>
      </c>
      <c r="D146" s="4">
        <v>46050.527083333334</v>
      </c>
      <c r="E146" s="2">
        <v>49.0</v>
      </c>
      <c r="F146" s="2" t="s">
        <v>12</v>
      </c>
      <c r="G146" s="2" t="s">
        <v>23</v>
      </c>
      <c r="H146" s="2">
        <v>63.0</v>
      </c>
      <c r="I146" s="5" t="str">
        <f>IFERROR(VLOOKUP($C146, merchants!$A$2:$D$41, 2, FALSE), "Merchant not found")</f>
        <v>Merchant_016</v>
      </c>
      <c r="J146" s="5" t="str">
        <f>IFERROR(VLOOKUP($C146, merchants!$A$2:$D$41, 3, FALSE), "Merchant not found")</f>
        <v>bill_payment</v>
      </c>
      <c r="K146" s="5" t="str">
        <f>IFERROR(VLOOKUP($C146, merchants!$A$2:$D$41, 4, FALSE), "Merchant not found")</f>
        <v>West</v>
      </c>
      <c r="Q146" s="5">
        <f t="shared" si="1"/>
        <v>0.3</v>
      </c>
      <c r="R146" s="6">
        <f t="shared" si="2"/>
        <v>46050</v>
      </c>
      <c r="S146" s="5">
        <f t="shared" si="3"/>
        <v>49</v>
      </c>
      <c r="T146" s="5" t="str">
        <f t="shared" si="4"/>
        <v>Normal</v>
      </c>
    </row>
    <row r="147">
      <c r="A147" s="2" t="s">
        <v>264</v>
      </c>
      <c r="B147" s="2">
        <v>119.0</v>
      </c>
      <c r="C147" s="2">
        <v>30.0</v>
      </c>
      <c r="D147" s="4">
        <v>46052.75625</v>
      </c>
      <c r="E147" s="2">
        <v>49.0</v>
      </c>
      <c r="F147" s="2" t="s">
        <v>14</v>
      </c>
      <c r="G147" s="2" t="s">
        <v>23</v>
      </c>
      <c r="H147" s="2">
        <v>81.0</v>
      </c>
      <c r="I147" s="5" t="str">
        <f>IFERROR(VLOOKUP($C147, merchants!$A$2:$D$41, 2, FALSE), "Merchant not found")</f>
        <v>Merchant_030</v>
      </c>
      <c r="J147" s="5" t="str">
        <f>IFERROR(VLOOKUP($C147, merchants!$A$2:$D$41, 3, FALSE), "Merchant not found")</f>
        <v>travel</v>
      </c>
      <c r="K147" s="5" t="str">
        <f>IFERROR(VLOOKUP($C147, merchants!$A$2:$D$41, 4, FALSE), "Merchant not found")</f>
        <v>West</v>
      </c>
      <c r="Q147" s="5">
        <f t="shared" si="1"/>
        <v>1.5</v>
      </c>
      <c r="R147" s="6">
        <f t="shared" si="2"/>
        <v>46052</v>
      </c>
      <c r="S147" s="5">
        <f t="shared" si="3"/>
        <v>49</v>
      </c>
      <c r="T147" s="5" t="str">
        <f t="shared" si="4"/>
        <v>Normal</v>
      </c>
    </row>
    <row r="148">
      <c r="A148" s="2" t="s">
        <v>265</v>
      </c>
      <c r="B148" s="2">
        <v>342.0</v>
      </c>
      <c r="C148" s="2">
        <v>1.0</v>
      </c>
      <c r="D148" s="4">
        <v>46031.59444444445</v>
      </c>
      <c r="E148" s="2">
        <v>49.0</v>
      </c>
      <c r="F148" s="2" t="s">
        <v>12</v>
      </c>
      <c r="G148" s="2" t="s">
        <v>23</v>
      </c>
      <c r="H148" s="2">
        <v>59.0</v>
      </c>
      <c r="I148" s="5" t="str">
        <f>IFERROR(VLOOKUP($C148, merchants!$A$2:$D$41, 2, FALSE), "Merchant not found")</f>
        <v>Merchant_001</v>
      </c>
      <c r="J148" s="5" t="str">
        <f>IFERROR(VLOOKUP($C148, merchants!$A$2:$D$41, 3, FALSE), "Merchant not found")</f>
        <v>ecommerce</v>
      </c>
      <c r="K148" s="5" t="str">
        <f>IFERROR(VLOOKUP($C148, merchants!$A$2:$D$41, 4, FALSE), "Merchant not found")</f>
        <v>South</v>
      </c>
      <c r="Q148" s="5">
        <f t="shared" si="1"/>
        <v>0.3</v>
      </c>
      <c r="R148" s="6">
        <f t="shared" si="2"/>
        <v>46031</v>
      </c>
      <c r="S148" s="5">
        <f t="shared" si="3"/>
        <v>5048</v>
      </c>
      <c r="T148" s="5" t="str">
        <f t="shared" si="4"/>
        <v>High-Value Merchant Day</v>
      </c>
    </row>
    <row r="149">
      <c r="A149" s="2" t="s">
        <v>266</v>
      </c>
      <c r="B149" s="2">
        <v>280.0</v>
      </c>
      <c r="C149" s="2">
        <v>11.0</v>
      </c>
      <c r="D149" s="4">
        <v>46051.404861111114</v>
      </c>
      <c r="E149" s="2">
        <v>149.0</v>
      </c>
      <c r="F149" s="2" t="s">
        <v>12</v>
      </c>
      <c r="G149" s="2" t="s">
        <v>69</v>
      </c>
      <c r="H149" s="2">
        <v>9.0</v>
      </c>
      <c r="I149" s="5" t="str">
        <f>IFERROR(VLOOKUP($C149, merchants!$A$2:$D$41, 2, FALSE), "Merchant not found")</f>
        <v>Merchant_011</v>
      </c>
      <c r="J149" s="5" t="str">
        <f>IFERROR(VLOOKUP($C149, merchants!$A$2:$D$41, 3, FALSE), "Merchant not found")</f>
        <v>ecommerce</v>
      </c>
      <c r="K149" s="5" t="str">
        <f>IFERROR(VLOOKUP($C149, merchants!$A$2:$D$41, 4, FALSE), "Merchant not found")</f>
        <v>North</v>
      </c>
      <c r="Q149" s="5">
        <f t="shared" si="1"/>
        <v>0.3</v>
      </c>
      <c r="R149" s="6">
        <f t="shared" si="2"/>
        <v>46051</v>
      </c>
      <c r="S149" s="5">
        <f t="shared" si="3"/>
        <v>149</v>
      </c>
      <c r="T149" s="5" t="str">
        <f t="shared" si="4"/>
        <v>Normal</v>
      </c>
    </row>
    <row r="150">
      <c r="A150" s="2" t="s">
        <v>267</v>
      </c>
      <c r="B150" s="2">
        <v>154.0</v>
      </c>
      <c r="C150" s="2">
        <v>28.0</v>
      </c>
      <c r="D150" s="4">
        <v>46037.48402777778</v>
      </c>
      <c r="E150" s="2">
        <v>2999.0</v>
      </c>
      <c r="F150" s="2" t="s">
        <v>15</v>
      </c>
      <c r="G150" s="2" t="s">
        <v>23</v>
      </c>
      <c r="H150" s="2">
        <v>88.0</v>
      </c>
      <c r="I150" s="5" t="str">
        <f>IFERROR(VLOOKUP($C150, merchants!$A$2:$D$41, 2, FALSE), "Merchant not found")</f>
        <v>Merchant_028</v>
      </c>
      <c r="J150" s="5" t="str">
        <f>IFERROR(VLOOKUP($C150, merchants!$A$2:$D$41, 3, FALSE), "Merchant not found")</f>
        <v>ecommerce</v>
      </c>
      <c r="K150" s="5" t="str">
        <f>IFERROR(VLOOKUP($C150, merchants!$A$2:$D$41, 4, FALSE), "Merchant not found")</f>
        <v>South</v>
      </c>
      <c r="Q150" s="5">
        <f t="shared" si="1"/>
        <v>0.9</v>
      </c>
      <c r="R150" s="6">
        <f t="shared" si="2"/>
        <v>46037</v>
      </c>
      <c r="S150" s="5">
        <f t="shared" si="3"/>
        <v>2999</v>
      </c>
      <c r="T150" s="5" t="str">
        <f t="shared" si="4"/>
        <v>Normal</v>
      </c>
    </row>
    <row r="151">
      <c r="A151" s="2" t="s">
        <v>268</v>
      </c>
      <c r="B151" s="2">
        <v>155.0</v>
      </c>
      <c r="C151" s="2">
        <v>13.0</v>
      </c>
      <c r="D151" s="4">
        <v>46031.620833333334</v>
      </c>
      <c r="E151" s="2">
        <v>149.0</v>
      </c>
      <c r="F151" s="2" t="s">
        <v>12</v>
      </c>
      <c r="G151" s="2" t="s">
        <v>23</v>
      </c>
      <c r="H151" s="2">
        <v>49.0</v>
      </c>
      <c r="I151" s="5" t="str">
        <f>IFERROR(VLOOKUP($C151, merchants!$A$2:$D$41, 2, FALSE), "Merchant not found")</f>
        <v>Merchant_013</v>
      </c>
      <c r="J151" s="5" t="str">
        <f>IFERROR(VLOOKUP($C151, merchants!$A$2:$D$41, 3, FALSE), "Merchant not found")</f>
        <v>travel</v>
      </c>
      <c r="K151" s="5" t="str">
        <f>IFERROR(VLOOKUP($C151, merchants!$A$2:$D$41, 4, FALSE), "Merchant not found")</f>
        <v>East</v>
      </c>
      <c r="Q151" s="5">
        <f t="shared" si="1"/>
        <v>0.3</v>
      </c>
      <c r="R151" s="6">
        <f t="shared" si="2"/>
        <v>46031</v>
      </c>
      <c r="S151" s="5">
        <f t="shared" si="3"/>
        <v>198</v>
      </c>
      <c r="T151" s="5" t="str">
        <f t="shared" si="4"/>
        <v>Normal</v>
      </c>
    </row>
    <row r="152">
      <c r="A152" s="2" t="s">
        <v>269</v>
      </c>
      <c r="B152" s="2">
        <v>122.0</v>
      </c>
      <c r="C152" s="2">
        <v>25.0</v>
      </c>
      <c r="D152" s="4">
        <v>46050.629166666666</v>
      </c>
      <c r="E152" s="2">
        <v>299.0</v>
      </c>
      <c r="F152" s="2" t="s">
        <v>12</v>
      </c>
      <c r="G152" s="2" t="s">
        <v>23</v>
      </c>
      <c r="H152" s="2">
        <v>73.0</v>
      </c>
      <c r="I152" s="5" t="str">
        <f>IFERROR(VLOOKUP($C152, merchants!$A$2:$D$41, 2, FALSE), "Merchant not found")</f>
        <v>Merchant_025</v>
      </c>
      <c r="J152" s="5" t="str">
        <f>IFERROR(VLOOKUP($C152, merchants!$A$2:$D$41, 3, FALSE), "Merchant not found")</f>
        <v>travel</v>
      </c>
      <c r="K152" s="5" t="str">
        <f>IFERROR(VLOOKUP($C152, merchants!$A$2:$D$41, 4, FALSE), "Merchant not found")</f>
        <v>South</v>
      </c>
      <c r="Q152" s="5">
        <f t="shared" si="1"/>
        <v>0.3</v>
      </c>
      <c r="R152" s="6">
        <f t="shared" si="2"/>
        <v>46050</v>
      </c>
      <c r="S152" s="5">
        <f t="shared" si="3"/>
        <v>299</v>
      </c>
      <c r="T152" s="5" t="str">
        <f t="shared" si="4"/>
        <v>Normal</v>
      </c>
    </row>
    <row r="153">
      <c r="A153" s="2" t="s">
        <v>270</v>
      </c>
      <c r="B153" s="2">
        <v>152.0</v>
      </c>
      <c r="C153" s="2">
        <v>2.0</v>
      </c>
      <c r="D153" s="4">
        <v>46034.7625</v>
      </c>
      <c r="E153" s="2">
        <v>49.0</v>
      </c>
      <c r="F153" s="2" t="s">
        <v>12</v>
      </c>
      <c r="G153" s="2" t="s">
        <v>23</v>
      </c>
      <c r="H153" s="2">
        <v>84.0</v>
      </c>
      <c r="I153" s="5" t="str">
        <f>IFERROR(VLOOKUP($C153, merchants!$A$2:$D$41, 2, FALSE), "Merchant not found")</f>
        <v>Merchant_002</v>
      </c>
      <c r="J153" s="5" t="str">
        <f>IFERROR(VLOOKUP($C153, merchants!$A$2:$D$41, 3, FALSE), "Merchant not found")</f>
        <v>grocery</v>
      </c>
      <c r="K153" s="5" t="str">
        <f>IFERROR(VLOOKUP($C153, merchants!$A$2:$D$41, 4, FALSE), "Merchant not found")</f>
        <v>West</v>
      </c>
      <c r="Q153" s="5">
        <f t="shared" si="1"/>
        <v>0.3</v>
      </c>
      <c r="R153" s="6">
        <f t="shared" si="2"/>
        <v>46034</v>
      </c>
      <c r="S153" s="5">
        <f t="shared" si="3"/>
        <v>348</v>
      </c>
      <c r="T153" s="5" t="str">
        <f t="shared" si="4"/>
        <v>Normal</v>
      </c>
    </row>
    <row r="154">
      <c r="A154" s="2" t="s">
        <v>271</v>
      </c>
      <c r="B154" s="2">
        <v>290.0</v>
      </c>
      <c r="C154" s="2">
        <v>4.0</v>
      </c>
      <c r="D154" s="4">
        <v>46035.333333333336</v>
      </c>
      <c r="E154" s="2">
        <v>149.0</v>
      </c>
      <c r="F154" s="2" t="s">
        <v>12</v>
      </c>
      <c r="G154" s="2" t="s">
        <v>23</v>
      </c>
      <c r="H154" s="2">
        <v>77.0</v>
      </c>
      <c r="I154" s="5" t="str">
        <f>IFERROR(VLOOKUP($C154, merchants!$A$2:$D$41, 2, FALSE), "Merchant not found")</f>
        <v>Merchant_004</v>
      </c>
      <c r="J154" s="5" t="str">
        <f>IFERROR(VLOOKUP($C154, merchants!$A$2:$D$41, 3, FALSE), "Merchant not found")</f>
        <v>ecommerce</v>
      </c>
      <c r="K154" s="5" t="str">
        <f>IFERROR(VLOOKUP($C154, merchants!$A$2:$D$41, 4, FALSE), "Merchant not found")</f>
        <v>East</v>
      </c>
      <c r="Q154" s="5">
        <f t="shared" si="1"/>
        <v>0.3</v>
      </c>
      <c r="R154" s="6">
        <f t="shared" si="2"/>
        <v>46035</v>
      </c>
      <c r="S154" s="5">
        <f t="shared" si="3"/>
        <v>948</v>
      </c>
      <c r="T154" s="5" t="str">
        <f t="shared" si="4"/>
        <v>Normal</v>
      </c>
    </row>
    <row r="155">
      <c r="A155" s="2" t="s">
        <v>272</v>
      </c>
      <c r="B155" s="2">
        <v>147.0</v>
      </c>
      <c r="C155" s="2">
        <v>15.0</v>
      </c>
      <c r="D155" s="4">
        <v>46046.66180555556</v>
      </c>
      <c r="E155" s="2">
        <v>49.0</v>
      </c>
      <c r="F155" s="2" t="s">
        <v>13</v>
      </c>
      <c r="G155" s="2" t="s">
        <v>23</v>
      </c>
      <c r="H155" s="2">
        <v>77.0</v>
      </c>
      <c r="I155" s="5" t="str">
        <f>IFERROR(VLOOKUP($C155, merchants!$A$2:$D$41, 2, FALSE), "Merchant not found")</f>
        <v>Merchant_015</v>
      </c>
      <c r="J155" s="5" t="str">
        <f>IFERROR(VLOOKUP($C155, merchants!$A$2:$D$41, 3, FALSE), "Merchant not found")</f>
        <v>travel</v>
      </c>
      <c r="K155" s="5" t="str">
        <f>IFERROR(VLOOKUP($C155, merchants!$A$2:$D$41, 4, FALSE), "Merchant not found")</f>
        <v>North</v>
      </c>
      <c r="Q155" s="5">
        <f t="shared" si="1"/>
        <v>0.5</v>
      </c>
      <c r="R155" s="6">
        <f t="shared" si="2"/>
        <v>46046</v>
      </c>
      <c r="S155" s="5">
        <f t="shared" si="3"/>
        <v>148</v>
      </c>
      <c r="T155" s="5" t="str">
        <f t="shared" si="4"/>
        <v>Normal</v>
      </c>
    </row>
    <row r="156">
      <c r="A156" s="2" t="s">
        <v>273</v>
      </c>
      <c r="B156" s="2">
        <v>326.0</v>
      </c>
      <c r="C156" s="2">
        <v>13.0</v>
      </c>
      <c r="D156" s="4">
        <v>46048.46805555555</v>
      </c>
      <c r="E156" s="2">
        <v>299.0</v>
      </c>
      <c r="F156" s="2" t="s">
        <v>15</v>
      </c>
      <c r="G156" s="2" t="s">
        <v>23</v>
      </c>
      <c r="H156" s="2">
        <v>79.0</v>
      </c>
      <c r="I156" s="5" t="str">
        <f>IFERROR(VLOOKUP($C156, merchants!$A$2:$D$41, 2, FALSE), "Merchant not found")</f>
        <v>Merchant_013</v>
      </c>
      <c r="J156" s="5" t="str">
        <f>IFERROR(VLOOKUP($C156, merchants!$A$2:$D$41, 3, FALSE), "Merchant not found")</f>
        <v>travel</v>
      </c>
      <c r="K156" s="5" t="str">
        <f>IFERROR(VLOOKUP($C156, merchants!$A$2:$D$41, 4, FALSE), "Merchant not found")</f>
        <v>East</v>
      </c>
      <c r="Q156" s="5">
        <f t="shared" si="1"/>
        <v>0.9</v>
      </c>
      <c r="R156" s="6">
        <f t="shared" si="2"/>
        <v>46048</v>
      </c>
      <c r="S156" s="5">
        <f t="shared" si="3"/>
        <v>299</v>
      </c>
      <c r="T156" s="5" t="str">
        <f t="shared" si="4"/>
        <v>Normal</v>
      </c>
    </row>
    <row r="157">
      <c r="A157" s="2" t="s">
        <v>274</v>
      </c>
      <c r="B157" s="2">
        <v>338.0</v>
      </c>
      <c r="C157" s="2">
        <v>9.0</v>
      </c>
      <c r="D157" s="4">
        <v>46031.90833333333</v>
      </c>
      <c r="E157" s="2">
        <v>99.0</v>
      </c>
      <c r="F157" s="2" t="s">
        <v>14</v>
      </c>
      <c r="G157" s="2" t="s">
        <v>23</v>
      </c>
      <c r="H157" s="2">
        <v>80.0</v>
      </c>
      <c r="I157" s="5" t="str">
        <f>IFERROR(VLOOKUP($C157, merchants!$A$2:$D$41, 2, FALSE), "Merchant not found")</f>
        <v>Merchant_009</v>
      </c>
      <c r="J157" s="5" t="str">
        <f>IFERROR(VLOOKUP($C157, merchants!$A$2:$D$41, 3, FALSE), "Merchant not found")</f>
        <v>ecommerce</v>
      </c>
      <c r="K157" s="5" t="str">
        <f>IFERROR(VLOOKUP($C157, merchants!$A$2:$D$41, 4, FALSE), "Merchant not found")</f>
        <v>North</v>
      </c>
      <c r="Q157" s="5">
        <f t="shared" si="1"/>
        <v>1.5</v>
      </c>
      <c r="R157" s="6">
        <f t="shared" si="2"/>
        <v>46031</v>
      </c>
      <c r="S157" s="5">
        <f t="shared" si="3"/>
        <v>99</v>
      </c>
      <c r="T157" s="5" t="str">
        <f t="shared" si="4"/>
        <v>Normal</v>
      </c>
    </row>
    <row r="158">
      <c r="A158" s="2" t="s">
        <v>275</v>
      </c>
      <c r="B158" s="2">
        <v>21.0</v>
      </c>
      <c r="C158" s="2">
        <v>20.0</v>
      </c>
      <c r="D158" s="4">
        <v>46026.861805555556</v>
      </c>
      <c r="E158" s="2">
        <v>2999.0</v>
      </c>
      <c r="F158" s="2" t="s">
        <v>12</v>
      </c>
      <c r="G158" s="2" t="s">
        <v>23</v>
      </c>
      <c r="H158" s="2">
        <v>100.0</v>
      </c>
      <c r="I158" s="5" t="str">
        <f>IFERROR(VLOOKUP($C158, merchants!$A$2:$D$41, 2, FALSE), "Merchant not found")</f>
        <v>Merchant_020</v>
      </c>
      <c r="J158" s="5" t="str">
        <f>IFERROR(VLOOKUP($C158, merchants!$A$2:$D$41, 3, FALSE), "Merchant not found")</f>
        <v>food_delivery</v>
      </c>
      <c r="K158" s="5" t="str">
        <f>IFERROR(VLOOKUP($C158, merchants!$A$2:$D$41, 4, FALSE), "Merchant not found")</f>
        <v>East</v>
      </c>
      <c r="Q158" s="5">
        <f t="shared" si="1"/>
        <v>0.3</v>
      </c>
      <c r="R158" s="6">
        <f t="shared" si="2"/>
        <v>46026</v>
      </c>
      <c r="S158" s="5">
        <f t="shared" si="3"/>
        <v>2999</v>
      </c>
      <c r="T158" s="5" t="str">
        <f t="shared" si="4"/>
        <v>Normal</v>
      </c>
    </row>
    <row r="159">
      <c r="A159" s="2" t="s">
        <v>276</v>
      </c>
      <c r="B159" s="2">
        <v>187.0</v>
      </c>
      <c r="C159" s="2">
        <v>9.0</v>
      </c>
      <c r="D159" s="4">
        <v>46037.06736111111</v>
      </c>
      <c r="E159" s="2">
        <v>49.0</v>
      </c>
      <c r="F159" s="2" t="s">
        <v>14</v>
      </c>
      <c r="G159" s="2" t="s">
        <v>61</v>
      </c>
      <c r="H159" s="2">
        <v>11.0</v>
      </c>
      <c r="I159" s="5" t="str">
        <f>IFERROR(VLOOKUP($C159, merchants!$A$2:$D$41, 2, FALSE), "Merchant not found")</f>
        <v>Merchant_009</v>
      </c>
      <c r="J159" s="5" t="str">
        <f>IFERROR(VLOOKUP($C159, merchants!$A$2:$D$41, 3, FALSE), "Merchant not found")</f>
        <v>ecommerce</v>
      </c>
      <c r="K159" s="5" t="str">
        <f>IFERROR(VLOOKUP($C159, merchants!$A$2:$D$41, 4, FALSE), "Merchant not found")</f>
        <v>North</v>
      </c>
      <c r="Q159" s="5">
        <f t="shared" si="1"/>
        <v>1.5</v>
      </c>
      <c r="R159" s="6">
        <f t="shared" si="2"/>
        <v>46037</v>
      </c>
      <c r="S159" s="5">
        <f t="shared" si="3"/>
        <v>148</v>
      </c>
      <c r="T159" s="5" t="str">
        <f t="shared" si="4"/>
        <v>Normal</v>
      </c>
    </row>
    <row r="160">
      <c r="A160" s="2" t="s">
        <v>277</v>
      </c>
      <c r="B160" s="2">
        <v>213.0</v>
      </c>
      <c r="C160" s="2">
        <v>12.0</v>
      </c>
      <c r="D160" s="4">
        <v>46052.38888888889</v>
      </c>
      <c r="E160" s="2">
        <v>4999.0</v>
      </c>
      <c r="F160" s="2" t="s">
        <v>12</v>
      </c>
      <c r="G160" s="2" t="s">
        <v>23</v>
      </c>
      <c r="H160" s="2">
        <v>25.0</v>
      </c>
      <c r="I160" s="5" t="str">
        <f>IFERROR(VLOOKUP($C160, merchants!$A$2:$D$41, 2, FALSE), "Merchant not found")</f>
        <v>Merchant_012</v>
      </c>
      <c r="J160" s="5" t="str">
        <f>IFERROR(VLOOKUP($C160, merchants!$A$2:$D$41, 3, FALSE), "Merchant not found")</f>
        <v>ecommerce</v>
      </c>
      <c r="K160" s="5" t="str">
        <f>IFERROR(VLOOKUP($C160, merchants!$A$2:$D$41, 4, FALSE), "Merchant not found")</f>
        <v>East</v>
      </c>
      <c r="Q160" s="5">
        <f t="shared" si="1"/>
        <v>0.3</v>
      </c>
      <c r="R160" s="6">
        <f t="shared" si="2"/>
        <v>46052</v>
      </c>
      <c r="S160" s="5">
        <f t="shared" si="3"/>
        <v>4999</v>
      </c>
      <c r="T160" s="5" t="str">
        <f t="shared" si="4"/>
        <v>Normal</v>
      </c>
    </row>
    <row r="161">
      <c r="A161" s="2" t="s">
        <v>278</v>
      </c>
      <c r="B161" s="2">
        <v>188.0</v>
      </c>
      <c r="C161" s="2">
        <v>34.0</v>
      </c>
      <c r="D161" s="4">
        <v>46027.74722222222</v>
      </c>
      <c r="E161" s="2">
        <v>2999.0</v>
      </c>
      <c r="F161" s="2" t="s">
        <v>12</v>
      </c>
      <c r="G161" s="2" t="s">
        <v>23</v>
      </c>
      <c r="H161" s="2">
        <v>64.0</v>
      </c>
      <c r="I161" s="5" t="str">
        <f>IFERROR(VLOOKUP($C161, merchants!$A$2:$D$41, 2, FALSE), "Merchant not found")</f>
        <v>Merchant_034</v>
      </c>
      <c r="J161" s="5" t="str">
        <f>IFERROR(VLOOKUP($C161, merchants!$A$2:$D$41, 3, FALSE), "Merchant not found")</f>
        <v>travel</v>
      </c>
      <c r="K161" s="5" t="str">
        <f>IFERROR(VLOOKUP($C161, merchants!$A$2:$D$41, 4, FALSE), "Merchant not found")</f>
        <v>South</v>
      </c>
      <c r="Q161" s="5">
        <f t="shared" si="1"/>
        <v>0.3</v>
      </c>
      <c r="R161" s="6">
        <f t="shared" si="2"/>
        <v>46027</v>
      </c>
      <c r="S161" s="5">
        <f t="shared" si="3"/>
        <v>2999</v>
      </c>
      <c r="T161" s="5" t="str">
        <f t="shared" si="4"/>
        <v>Normal</v>
      </c>
    </row>
    <row r="162">
      <c r="A162" s="2" t="s">
        <v>279</v>
      </c>
      <c r="B162" s="2">
        <v>85.0</v>
      </c>
      <c r="C162" s="2">
        <v>17.0</v>
      </c>
      <c r="D162" s="4">
        <v>46052.37013888889</v>
      </c>
      <c r="E162" s="2">
        <v>499.0</v>
      </c>
      <c r="F162" s="2" t="s">
        <v>12</v>
      </c>
      <c r="G162" s="2" t="s">
        <v>23</v>
      </c>
      <c r="H162" s="2">
        <v>61.0</v>
      </c>
      <c r="I162" s="5" t="str">
        <f>IFERROR(VLOOKUP($C162, merchants!$A$2:$D$41, 2, FALSE), "Merchant not found")</f>
        <v>Merchant_017</v>
      </c>
      <c r="J162" s="5" t="str">
        <f>IFERROR(VLOOKUP($C162, merchants!$A$2:$D$41, 3, FALSE), "Merchant not found")</f>
        <v>grocery</v>
      </c>
      <c r="K162" s="5" t="str">
        <f>IFERROR(VLOOKUP($C162, merchants!$A$2:$D$41, 4, FALSE), "Merchant not found")</f>
        <v>North</v>
      </c>
      <c r="Q162" s="5">
        <f t="shared" si="1"/>
        <v>0.3</v>
      </c>
      <c r="R162" s="6">
        <f t="shared" si="2"/>
        <v>46052</v>
      </c>
      <c r="S162" s="5">
        <f t="shared" si="3"/>
        <v>499</v>
      </c>
      <c r="T162" s="5" t="str">
        <f t="shared" si="4"/>
        <v>Normal</v>
      </c>
    </row>
    <row r="163">
      <c r="A163" s="2" t="s">
        <v>280</v>
      </c>
      <c r="B163" s="2">
        <v>174.0</v>
      </c>
      <c r="C163" s="2">
        <v>8.0</v>
      </c>
      <c r="D163" s="4">
        <v>46048.407638888886</v>
      </c>
      <c r="E163" s="2">
        <v>299.0</v>
      </c>
      <c r="F163" s="2" t="s">
        <v>15</v>
      </c>
      <c r="G163" s="2" t="s">
        <v>23</v>
      </c>
      <c r="H163" s="2">
        <v>59.0</v>
      </c>
      <c r="I163" s="5" t="str">
        <f>IFERROR(VLOOKUP($C163, merchants!$A$2:$D$41, 2, FALSE), "Merchant not found")</f>
        <v>Merchant_008</v>
      </c>
      <c r="J163" s="5" t="str">
        <f>IFERROR(VLOOKUP($C163, merchants!$A$2:$D$41, 3, FALSE), "Merchant not found")</f>
        <v>food_delivery</v>
      </c>
      <c r="K163" s="5" t="str">
        <f>IFERROR(VLOOKUP($C163, merchants!$A$2:$D$41, 4, FALSE), "Merchant not found")</f>
        <v>North</v>
      </c>
      <c r="Q163" s="5">
        <f t="shared" si="1"/>
        <v>0.9</v>
      </c>
      <c r="R163" s="6">
        <f t="shared" si="2"/>
        <v>46048</v>
      </c>
      <c r="S163" s="5">
        <f t="shared" si="3"/>
        <v>598</v>
      </c>
      <c r="T163" s="5" t="str">
        <f t="shared" si="4"/>
        <v>Normal</v>
      </c>
    </row>
    <row r="164">
      <c r="A164" s="2" t="s">
        <v>281</v>
      </c>
      <c r="B164" s="2">
        <v>116.0</v>
      </c>
      <c r="C164" s="2">
        <v>26.0</v>
      </c>
      <c r="D164" s="4">
        <v>46025.2</v>
      </c>
      <c r="E164" s="2">
        <v>99.0</v>
      </c>
      <c r="F164" s="2" t="s">
        <v>15</v>
      </c>
      <c r="G164" s="2" t="s">
        <v>23</v>
      </c>
      <c r="H164" s="2">
        <v>71.0</v>
      </c>
      <c r="I164" s="5" t="str">
        <f>IFERROR(VLOOKUP($C164, merchants!$A$2:$D$41, 2, FALSE), "Merchant not found")</f>
        <v>Merchant_026</v>
      </c>
      <c r="J164" s="5" t="str">
        <f>IFERROR(VLOOKUP($C164, merchants!$A$2:$D$41, 3, FALSE), "Merchant not found")</f>
        <v>food_delivery</v>
      </c>
      <c r="K164" s="5" t="str">
        <f>IFERROR(VLOOKUP($C164, merchants!$A$2:$D$41, 4, FALSE), "Merchant not found")</f>
        <v>East</v>
      </c>
      <c r="Q164" s="5">
        <f t="shared" si="1"/>
        <v>0.9</v>
      </c>
      <c r="R164" s="6">
        <f t="shared" si="2"/>
        <v>46025</v>
      </c>
      <c r="S164" s="5">
        <f t="shared" si="3"/>
        <v>99</v>
      </c>
      <c r="T164" s="5" t="str">
        <f t="shared" si="4"/>
        <v>Normal</v>
      </c>
    </row>
    <row r="165">
      <c r="A165" s="2" t="s">
        <v>282</v>
      </c>
      <c r="B165" s="2">
        <v>203.0</v>
      </c>
      <c r="C165" s="2">
        <v>1.0</v>
      </c>
      <c r="D165" s="4">
        <v>46034.118055555555</v>
      </c>
      <c r="E165" s="2">
        <v>149.0</v>
      </c>
      <c r="F165" s="2" t="s">
        <v>13</v>
      </c>
      <c r="G165" s="2" t="s">
        <v>23</v>
      </c>
      <c r="H165" s="2">
        <v>33.0</v>
      </c>
      <c r="I165" s="5" t="str">
        <f>IFERROR(VLOOKUP($C165, merchants!$A$2:$D$41, 2, FALSE), "Merchant not found")</f>
        <v>Merchant_001</v>
      </c>
      <c r="J165" s="5" t="str">
        <f>IFERROR(VLOOKUP($C165, merchants!$A$2:$D$41, 3, FALSE), "Merchant not found")</f>
        <v>ecommerce</v>
      </c>
      <c r="K165" s="5" t="str">
        <f>IFERROR(VLOOKUP($C165, merchants!$A$2:$D$41, 4, FALSE), "Merchant not found")</f>
        <v>South</v>
      </c>
      <c r="Q165" s="5">
        <f t="shared" si="1"/>
        <v>0.5</v>
      </c>
      <c r="R165" s="6">
        <f t="shared" si="2"/>
        <v>46034</v>
      </c>
      <c r="S165" s="5">
        <f t="shared" si="3"/>
        <v>149</v>
      </c>
      <c r="T165" s="5" t="str">
        <f t="shared" si="4"/>
        <v>Normal</v>
      </c>
    </row>
    <row r="166">
      <c r="A166" s="2" t="s">
        <v>283</v>
      </c>
      <c r="B166" s="2">
        <v>189.0</v>
      </c>
      <c r="C166" s="2">
        <v>17.0</v>
      </c>
      <c r="D166" s="4">
        <v>46040.14513888889</v>
      </c>
      <c r="E166" s="2">
        <v>99.0</v>
      </c>
      <c r="F166" s="2" t="s">
        <v>12</v>
      </c>
      <c r="G166" s="2" t="s">
        <v>23</v>
      </c>
      <c r="H166" s="2">
        <v>74.0</v>
      </c>
      <c r="I166" s="5" t="str">
        <f>IFERROR(VLOOKUP($C166, merchants!$A$2:$D$41, 2, FALSE), "Merchant not found")</f>
        <v>Merchant_017</v>
      </c>
      <c r="J166" s="5" t="str">
        <f>IFERROR(VLOOKUP($C166, merchants!$A$2:$D$41, 3, FALSE), "Merchant not found")</f>
        <v>grocery</v>
      </c>
      <c r="K166" s="5" t="str">
        <f>IFERROR(VLOOKUP($C166, merchants!$A$2:$D$41, 4, FALSE), "Merchant not found")</f>
        <v>North</v>
      </c>
      <c r="Q166" s="5">
        <f t="shared" si="1"/>
        <v>0.3</v>
      </c>
      <c r="R166" s="6">
        <f t="shared" si="2"/>
        <v>46040</v>
      </c>
      <c r="S166" s="5">
        <f t="shared" si="3"/>
        <v>198</v>
      </c>
      <c r="T166" s="5" t="str">
        <f t="shared" si="4"/>
        <v>Normal</v>
      </c>
    </row>
    <row r="167">
      <c r="A167" s="2" t="s">
        <v>284</v>
      </c>
      <c r="B167" s="2">
        <v>56.0</v>
      </c>
      <c r="C167" s="2">
        <v>15.0</v>
      </c>
      <c r="D167" s="4">
        <v>46035.84930555556</v>
      </c>
      <c r="E167" s="2">
        <v>299.0</v>
      </c>
      <c r="F167" s="2" t="s">
        <v>12</v>
      </c>
      <c r="G167" s="2" t="s">
        <v>23</v>
      </c>
      <c r="H167" s="2">
        <v>60.0</v>
      </c>
      <c r="I167" s="5" t="str">
        <f>IFERROR(VLOOKUP($C167, merchants!$A$2:$D$41, 2, FALSE), "Merchant not found")</f>
        <v>Merchant_015</v>
      </c>
      <c r="J167" s="5" t="str">
        <f>IFERROR(VLOOKUP($C167, merchants!$A$2:$D$41, 3, FALSE), "Merchant not found")</f>
        <v>travel</v>
      </c>
      <c r="K167" s="5" t="str">
        <f>IFERROR(VLOOKUP($C167, merchants!$A$2:$D$41, 4, FALSE), "Merchant not found")</f>
        <v>North</v>
      </c>
      <c r="Q167" s="5">
        <f t="shared" si="1"/>
        <v>0.3</v>
      </c>
      <c r="R167" s="6">
        <f t="shared" si="2"/>
        <v>46035</v>
      </c>
      <c r="S167" s="5">
        <f t="shared" si="3"/>
        <v>299</v>
      </c>
      <c r="T167" s="5" t="str">
        <f t="shared" si="4"/>
        <v>Normal</v>
      </c>
    </row>
    <row r="168">
      <c r="A168" s="2" t="s">
        <v>285</v>
      </c>
      <c r="B168" s="2">
        <v>288.0</v>
      </c>
      <c r="C168" s="2">
        <v>21.0</v>
      </c>
      <c r="D168" s="4">
        <v>46023.830555555556</v>
      </c>
      <c r="E168" s="2">
        <v>4999.0</v>
      </c>
      <c r="F168" s="2" t="s">
        <v>13</v>
      </c>
      <c r="G168" s="2" t="s">
        <v>61</v>
      </c>
      <c r="H168" s="2">
        <v>78.0</v>
      </c>
      <c r="I168" s="5" t="str">
        <f>IFERROR(VLOOKUP($C168, merchants!$A$2:$D$41, 2, FALSE), "Merchant not found")</f>
        <v>Merchant_021</v>
      </c>
      <c r="J168" s="5" t="str">
        <f>IFERROR(VLOOKUP($C168, merchants!$A$2:$D$41, 3, FALSE), "Merchant not found")</f>
        <v>food_delivery</v>
      </c>
      <c r="K168" s="5" t="str">
        <f>IFERROR(VLOOKUP($C168, merchants!$A$2:$D$41, 4, FALSE), "Merchant not found")</f>
        <v>East</v>
      </c>
      <c r="Q168" s="5">
        <f t="shared" si="1"/>
        <v>0.5</v>
      </c>
      <c r="R168" s="6">
        <f t="shared" si="2"/>
        <v>46023</v>
      </c>
      <c r="S168" s="5">
        <f t="shared" si="3"/>
        <v>5298</v>
      </c>
      <c r="T168" s="5" t="str">
        <f t="shared" si="4"/>
        <v>Normal</v>
      </c>
    </row>
    <row r="169">
      <c r="A169" s="2" t="s">
        <v>286</v>
      </c>
      <c r="B169" s="2">
        <v>326.0</v>
      </c>
      <c r="C169" s="2">
        <v>30.0</v>
      </c>
      <c r="D169" s="4">
        <v>46030.83611111111</v>
      </c>
      <c r="E169" s="2">
        <v>99.0</v>
      </c>
      <c r="F169" s="2" t="s">
        <v>14</v>
      </c>
      <c r="G169" s="2" t="s">
        <v>23</v>
      </c>
      <c r="H169" s="2">
        <v>89.0</v>
      </c>
      <c r="I169" s="5" t="str">
        <f>IFERROR(VLOOKUP($C169, merchants!$A$2:$D$41, 2, FALSE), "Merchant not found")</f>
        <v>Merchant_030</v>
      </c>
      <c r="J169" s="5" t="str">
        <f>IFERROR(VLOOKUP($C169, merchants!$A$2:$D$41, 3, FALSE), "Merchant not found")</f>
        <v>travel</v>
      </c>
      <c r="K169" s="5" t="str">
        <f>IFERROR(VLOOKUP($C169, merchants!$A$2:$D$41, 4, FALSE), "Merchant not found")</f>
        <v>West</v>
      </c>
      <c r="Q169" s="5">
        <f t="shared" si="1"/>
        <v>1.5</v>
      </c>
      <c r="R169" s="6">
        <f t="shared" si="2"/>
        <v>46030</v>
      </c>
      <c r="S169" s="5">
        <f t="shared" si="3"/>
        <v>1197</v>
      </c>
      <c r="T169" s="5" t="str">
        <f t="shared" si="4"/>
        <v>Normal</v>
      </c>
    </row>
    <row r="170">
      <c r="A170" s="2" t="s">
        <v>287</v>
      </c>
      <c r="B170" s="2">
        <v>60.0</v>
      </c>
      <c r="C170" s="2">
        <v>9.0</v>
      </c>
      <c r="D170" s="4">
        <v>46032.85138888889</v>
      </c>
      <c r="E170" s="2">
        <v>49.0</v>
      </c>
      <c r="F170" s="2" t="s">
        <v>15</v>
      </c>
      <c r="G170" s="2" t="s">
        <v>23</v>
      </c>
      <c r="H170" s="2">
        <v>5.0</v>
      </c>
      <c r="I170" s="5" t="str">
        <f>IFERROR(VLOOKUP($C170, merchants!$A$2:$D$41, 2, FALSE), "Merchant not found")</f>
        <v>Merchant_009</v>
      </c>
      <c r="J170" s="5" t="str">
        <f>IFERROR(VLOOKUP($C170, merchants!$A$2:$D$41, 3, FALSE), "Merchant not found")</f>
        <v>ecommerce</v>
      </c>
      <c r="K170" s="5" t="str">
        <f>IFERROR(VLOOKUP($C170, merchants!$A$2:$D$41, 4, FALSE), "Merchant not found")</f>
        <v>North</v>
      </c>
      <c r="Q170" s="5">
        <f t="shared" si="1"/>
        <v>0.9</v>
      </c>
      <c r="R170" s="6">
        <f t="shared" si="2"/>
        <v>46032</v>
      </c>
      <c r="S170" s="5">
        <f t="shared" si="3"/>
        <v>49</v>
      </c>
      <c r="T170" s="5" t="str">
        <f t="shared" si="4"/>
        <v>Normal</v>
      </c>
    </row>
    <row r="171">
      <c r="A171" s="2" t="s">
        <v>288</v>
      </c>
      <c r="B171" s="2">
        <v>60.0</v>
      </c>
      <c r="C171" s="2">
        <v>7.0</v>
      </c>
      <c r="D171" s="4">
        <v>46024.396527777775</v>
      </c>
      <c r="E171" s="2">
        <v>2999.0</v>
      </c>
      <c r="F171" s="2" t="s">
        <v>13</v>
      </c>
      <c r="G171" s="2" t="s">
        <v>23</v>
      </c>
      <c r="H171" s="2">
        <v>30.0</v>
      </c>
      <c r="I171" s="5" t="str">
        <f>IFERROR(VLOOKUP($C171, merchants!$A$2:$D$41, 2, FALSE), "Merchant not found")</f>
        <v>Merchant_007</v>
      </c>
      <c r="J171" s="5" t="str">
        <f>IFERROR(VLOOKUP($C171, merchants!$A$2:$D$41, 3, FALSE), "Merchant not found")</f>
        <v>food_delivery</v>
      </c>
      <c r="K171" s="5" t="str">
        <f>IFERROR(VLOOKUP($C171, merchants!$A$2:$D$41, 4, FALSE), "Merchant not found")</f>
        <v>East</v>
      </c>
      <c r="Q171" s="5">
        <f t="shared" si="1"/>
        <v>0.5</v>
      </c>
      <c r="R171" s="6">
        <f t="shared" si="2"/>
        <v>46024</v>
      </c>
      <c r="S171" s="5">
        <f t="shared" si="3"/>
        <v>3797</v>
      </c>
      <c r="T171" s="5" t="str">
        <f t="shared" si="4"/>
        <v>Normal</v>
      </c>
    </row>
    <row r="172">
      <c r="A172" s="2" t="s">
        <v>289</v>
      </c>
      <c r="B172" s="2">
        <v>199.0</v>
      </c>
      <c r="C172" s="2">
        <v>30.0</v>
      </c>
      <c r="D172" s="4">
        <v>46051.71388888889</v>
      </c>
      <c r="E172" s="2">
        <v>149.0</v>
      </c>
      <c r="F172" s="2" t="s">
        <v>15</v>
      </c>
      <c r="G172" s="2" t="s">
        <v>23</v>
      </c>
      <c r="H172" s="2">
        <v>47.0</v>
      </c>
      <c r="I172" s="5" t="str">
        <f>IFERROR(VLOOKUP($C172, merchants!$A$2:$D$41, 2, FALSE), "Merchant not found")</f>
        <v>Merchant_030</v>
      </c>
      <c r="J172" s="5" t="str">
        <f>IFERROR(VLOOKUP($C172, merchants!$A$2:$D$41, 3, FALSE), "Merchant not found")</f>
        <v>travel</v>
      </c>
      <c r="K172" s="5" t="str">
        <f>IFERROR(VLOOKUP($C172, merchants!$A$2:$D$41, 4, FALSE), "Merchant not found")</f>
        <v>West</v>
      </c>
      <c r="Q172" s="5">
        <f t="shared" si="1"/>
        <v>0.9</v>
      </c>
      <c r="R172" s="6">
        <f t="shared" si="2"/>
        <v>46051</v>
      </c>
      <c r="S172" s="5">
        <f t="shared" si="3"/>
        <v>149</v>
      </c>
      <c r="T172" s="5" t="str">
        <f t="shared" si="4"/>
        <v>Normal</v>
      </c>
    </row>
    <row r="173">
      <c r="A173" s="2" t="s">
        <v>290</v>
      </c>
      <c r="B173" s="2">
        <v>277.0</v>
      </c>
      <c r="C173" s="2">
        <v>27.0</v>
      </c>
      <c r="D173" s="4">
        <v>46044.98888888889</v>
      </c>
      <c r="E173" s="2">
        <v>49.0</v>
      </c>
      <c r="F173" s="2" t="s">
        <v>12</v>
      </c>
      <c r="G173" s="2" t="s">
        <v>23</v>
      </c>
      <c r="H173" s="2">
        <v>75.0</v>
      </c>
      <c r="I173" s="5" t="str">
        <f>IFERROR(VLOOKUP($C173, merchants!$A$2:$D$41, 2, FALSE), "Merchant not found")</f>
        <v>Merchant_027</v>
      </c>
      <c r="J173" s="5" t="str">
        <f>IFERROR(VLOOKUP($C173, merchants!$A$2:$D$41, 3, FALSE), "Merchant not found")</f>
        <v>ecommerce</v>
      </c>
      <c r="K173" s="5" t="str">
        <f>IFERROR(VLOOKUP($C173, merchants!$A$2:$D$41, 4, FALSE), "Merchant not found")</f>
        <v>North</v>
      </c>
      <c r="Q173" s="5">
        <f t="shared" si="1"/>
        <v>0.3</v>
      </c>
      <c r="R173" s="6">
        <f t="shared" si="2"/>
        <v>46044</v>
      </c>
      <c r="S173" s="5">
        <f t="shared" si="3"/>
        <v>49</v>
      </c>
      <c r="T173" s="5" t="str">
        <f t="shared" si="4"/>
        <v>Normal</v>
      </c>
    </row>
    <row r="174">
      <c r="A174" s="2" t="s">
        <v>291</v>
      </c>
      <c r="B174" s="2">
        <v>213.0</v>
      </c>
      <c r="C174" s="2">
        <v>7.0</v>
      </c>
      <c r="D174" s="4">
        <v>46046.964583333334</v>
      </c>
      <c r="E174" s="2">
        <v>799.0</v>
      </c>
      <c r="F174" s="2" t="s">
        <v>15</v>
      </c>
      <c r="G174" s="2" t="s">
        <v>23</v>
      </c>
      <c r="H174" s="2">
        <v>62.0</v>
      </c>
      <c r="I174" s="5" t="str">
        <f>IFERROR(VLOOKUP($C174, merchants!$A$2:$D$41, 2, FALSE), "Merchant not found")</f>
        <v>Merchant_007</v>
      </c>
      <c r="J174" s="5" t="str">
        <f>IFERROR(VLOOKUP($C174, merchants!$A$2:$D$41, 3, FALSE), "Merchant not found")</f>
        <v>food_delivery</v>
      </c>
      <c r="K174" s="5" t="str">
        <f>IFERROR(VLOOKUP($C174, merchants!$A$2:$D$41, 4, FALSE), "Merchant not found")</f>
        <v>East</v>
      </c>
      <c r="Q174" s="5">
        <f t="shared" si="1"/>
        <v>0.9</v>
      </c>
      <c r="R174" s="6">
        <f t="shared" si="2"/>
        <v>46046</v>
      </c>
      <c r="S174" s="5">
        <f t="shared" si="3"/>
        <v>1298</v>
      </c>
      <c r="T174" s="5" t="str">
        <f t="shared" si="4"/>
        <v>Normal</v>
      </c>
    </row>
    <row r="175">
      <c r="A175" s="2" t="s">
        <v>292</v>
      </c>
      <c r="B175" s="2">
        <v>17.0</v>
      </c>
      <c r="C175" s="2">
        <v>24.0</v>
      </c>
      <c r="D175" s="4">
        <v>46042.55347222222</v>
      </c>
      <c r="E175" s="2">
        <v>299.0</v>
      </c>
      <c r="F175" s="2" t="s">
        <v>12</v>
      </c>
      <c r="G175" s="2" t="s">
        <v>23</v>
      </c>
      <c r="H175" s="2">
        <v>27.0</v>
      </c>
      <c r="I175" s="5" t="str">
        <f>IFERROR(VLOOKUP($C175, merchants!$A$2:$D$41, 2, FALSE), "Merchant not found")</f>
        <v>Merchant_024</v>
      </c>
      <c r="J175" s="5" t="str">
        <f>IFERROR(VLOOKUP($C175, merchants!$A$2:$D$41, 3, FALSE), "Merchant not found")</f>
        <v>grocery</v>
      </c>
      <c r="K175" s="5" t="str">
        <f>IFERROR(VLOOKUP($C175, merchants!$A$2:$D$41, 4, FALSE), "Merchant not found")</f>
        <v>North</v>
      </c>
      <c r="Q175" s="5">
        <f t="shared" si="1"/>
        <v>0.3</v>
      </c>
      <c r="R175" s="6">
        <f t="shared" si="2"/>
        <v>46042</v>
      </c>
      <c r="S175" s="5">
        <f t="shared" si="3"/>
        <v>299</v>
      </c>
      <c r="T175" s="5" t="str">
        <f t="shared" si="4"/>
        <v>Normal</v>
      </c>
    </row>
    <row r="176">
      <c r="A176" s="2" t="s">
        <v>293</v>
      </c>
      <c r="B176" s="2">
        <v>186.0</v>
      </c>
      <c r="C176" s="2">
        <v>7.0</v>
      </c>
      <c r="D176" s="4">
        <v>46037.59375</v>
      </c>
      <c r="E176" s="2">
        <v>1499.0</v>
      </c>
      <c r="F176" s="2" t="s">
        <v>14</v>
      </c>
      <c r="G176" s="2" t="s">
        <v>61</v>
      </c>
      <c r="H176" s="2">
        <v>87.0</v>
      </c>
      <c r="I176" s="5" t="str">
        <f>IFERROR(VLOOKUP($C176, merchants!$A$2:$D$41, 2, FALSE), "Merchant not found")</f>
        <v>Merchant_007</v>
      </c>
      <c r="J176" s="5" t="str">
        <f>IFERROR(VLOOKUP($C176, merchants!$A$2:$D$41, 3, FALSE), "Merchant not found")</f>
        <v>food_delivery</v>
      </c>
      <c r="K176" s="5" t="str">
        <f>IFERROR(VLOOKUP($C176, merchants!$A$2:$D$41, 4, FALSE), "Merchant not found")</f>
        <v>East</v>
      </c>
      <c r="Q176" s="5">
        <f t="shared" si="1"/>
        <v>1.5</v>
      </c>
      <c r="R176" s="6">
        <f t="shared" si="2"/>
        <v>46037</v>
      </c>
      <c r="S176" s="5">
        <f t="shared" si="3"/>
        <v>1648</v>
      </c>
      <c r="T176" s="5" t="str">
        <f t="shared" si="4"/>
        <v>Normal</v>
      </c>
    </row>
    <row r="177">
      <c r="A177" s="2" t="s">
        <v>294</v>
      </c>
      <c r="B177" s="2">
        <v>331.0</v>
      </c>
      <c r="C177" s="2">
        <v>23.0</v>
      </c>
      <c r="D177" s="4">
        <v>46034.74791666667</v>
      </c>
      <c r="E177" s="2">
        <v>149.0</v>
      </c>
      <c r="F177" s="2" t="s">
        <v>12</v>
      </c>
      <c r="G177" s="2" t="s">
        <v>23</v>
      </c>
      <c r="H177" s="2">
        <v>7.0</v>
      </c>
      <c r="I177" s="5" t="str">
        <f>IFERROR(VLOOKUP($C177, merchants!$A$2:$D$41, 2, FALSE), "Merchant not found")</f>
        <v>Merchant_023</v>
      </c>
      <c r="J177" s="5" t="str">
        <f>IFERROR(VLOOKUP($C177, merchants!$A$2:$D$41, 3, FALSE), "Merchant not found")</f>
        <v>travel</v>
      </c>
      <c r="K177" s="5" t="str">
        <f>IFERROR(VLOOKUP($C177, merchants!$A$2:$D$41, 4, FALSE), "Merchant not found")</f>
        <v>North</v>
      </c>
      <c r="Q177" s="5">
        <f t="shared" si="1"/>
        <v>0.3</v>
      </c>
      <c r="R177" s="6">
        <f t="shared" si="2"/>
        <v>46034</v>
      </c>
      <c r="S177" s="5">
        <f t="shared" si="3"/>
        <v>149</v>
      </c>
      <c r="T177" s="5" t="str">
        <f t="shared" si="4"/>
        <v>Normal</v>
      </c>
    </row>
    <row r="178">
      <c r="A178" s="2" t="s">
        <v>295</v>
      </c>
      <c r="B178" s="2">
        <v>63.0</v>
      </c>
      <c r="C178" s="2">
        <v>30.0</v>
      </c>
      <c r="D178" s="4">
        <v>46035.34166666667</v>
      </c>
      <c r="E178" s="2">
        <v>1499.0</v>
      </c>
      <c r="F178" s="2" t="s">
        <v>14</v>
      </c>
      <c r="G178" s="2" t="s">
        <v>23</v>
      </c>
      <c r="H178" s="2">
        <v>11.0</v>
      </c>
      <c r="I178" s="5" t="str">
        <f>IFERROR(VLOOKUP($C178, merchants!$A$2:$D$41, 2, FALSE), "Merchant not found")</f>
        <v>Merchant_030</v>
      </c>
      <c r="J178" s="5" t="str">
        <f>IFERROR(VLOOKUP($C178, merchants!$A$2:$D$41, 3, FALSE), "Merchant not found")</f>
        <v>travel</v>
      </c>
      <c r="K178" s="5" t="str">
        <f>IFERROR(VLOOKUP($C178, merchants!$A$2:$D$41, 4, FALSE), "Merchant not found")</f>
        <v>West</v>
      </c>
      <c r="Q178" s="5">
        <f t="shared" si="1"/>
        <v>1.5</v>
      </c>
      <c r="R178" s="6">
        <f t="shared" si="2"/>
        <v>46035</v>
      </c>
      <c r="S178" s="5">
        <f t="shared" si="3"/>
        <v>1499</v>
      </c>
      <c r="T178" s="5" t="str">
        <f t="shared" si="4"/>
        <v>Normal</v>
      </c>
    </row>
    <row r="179">
      <c r="A179" s="2" t="s">
        <v>296</v>
      </c>
      <c r="B179" s="2">
        <v>328.0</v>
      </c>
      <c r="C179" s="2">
        <v>39.0</v>
      </c>
      <c r="D179" s="4">
        <v>46044.27847222222</v>
      </c>
      <c r="E179" s="2">
        <v>4999.0</v>
      </c>
      <c r="F179" s="2" t="s">
        <v>13</v>
      </c>
      <c r="G179" s="2" t="s">
        <v>69</v>
      </c>
      <c r="H179" s="2">
        <v>2.0</v>
      </c>
      <c r="I179" s="5" t="str">
        <f>IFERROR(VLOOKUP($C179, merchants!$A$2:$D$41, 2, FALSE), "Merchant not found")</f>
        <v>Merchant_039</v>
      </c>
      <c r="J179" s="5" t="str">
        <f>IFERROR(VLOOKUP($C179, merchants!$A$2:$D$41, 3, FALSE), "Merchant not found")</f>
        <v>entertainment</v>
      </c>
      <c r="K179" s="5" t="str">
        <f>IFERROR(VLOOKUP($C179, merchants!$A$2:$D$41, 4, FALSE), "Merchant not found")</f>
        <v>North</v>
      </c>
      <c r="Q179" s="5">
        <f t="shared" si="1"/>
        <v>0.5</v>
      </c>
      <c r="R179" s="6">
        <f t="shared" si="2"/>
        <v>46044</v>
      </c>
      <c r="S179" s="5">
        <f t="shared" si="3"/>
        <v>9796</v>
      </c>
      <c r="T179" s="5" t="str">
        <f t="shared" si="4"/>
        <v>High-Value Merchant Day</v>
      </c>
    </row>
    <row r="180">
      <c r="A180" s="2" t="s">
        <v>297</v>
      </c>
      <c r="B180" s="2">
        <v>65.0</v>
      </c>
      <c r="C180" s="2">
        <v>37.0</v>
      </c>
      <c r="D180" s="4">
        <v>46024.427083333336</v>
      </c>
      <c r="E180" s="2">
        <v>2999.0</v>
      </c>
      <c r="F180" s="2" t="s">
        <v>14</v>
      </c>
      <c r="G180" s="2" t="s">
        <v>23</v>
      </c>
      <c r="H180" s="2">
        <v>26.0</v>
      </c>
      <c r="I180" s="5" t="str">
        <f>IFERROR(VLOOKUP($C180, merchants!$A$2:$D$41, 2, FALSE), "Merchant not found")</f>
        <v>Merchant_037</v>
      </c>
      <c r="J180" s="5" t="str">
        <f>IFERROR(VLOOKUP($C180, merchants!$A$2:$D$41, 3, FALSE), "Merchant not found")</f>
        <v>entertainment</v>
      </c>
      <c r="K180" s="5" t="str">
        <f>IFERROR(VLOOKUP($C180, merchants!$A$2:$D$41, 4, FALSE), "Merchant not found")</f>
        <v>South</v>
      </c>
      <c r="Q180" s="5">
        <f t="shared" si="1"/>
        <v>1.5</v>
      </c>
      <c r="R180" s="6">
        <f t="shared" si="2"/>
        <v>46024</v>
      </c>
      <c r="S180" s="5">
        <f t="shared" si="3"/>
        <v>2999</v>
      </c>
      <c r="T180" s="5" t="str">
        <f t="shared" si="4"/>
        <v>Normal</v>
      </c>
    </row>
    <row r="181">
      <c r="A181" s="2" t="s">
        <v>298</v>
      </c>
      <c r="B181" s="2">
        <v>301.0</v>
      </c>
      <c r="C181" s="2">
        <v>14.0</v>
      </c>
      <c r="D181" s="4">
        <v>46025.717361111114</v>
      </c>
      <c r="E181" s="2">
        <v>149.0</v>
      </c>
      <c r="F181" s="2" t="s">
        <v>12</v>
      </c>
      <c r="G181" s="2" t="s">
        <v>23</v>
      </c>
      <c r="H181" s="2">
        <v>29.0</v>
      </c>
      <c r="I181" s="5" t="str">
        <f>IFERROR(VLOOKUP($C181, merchants!$A$2:$D$41, 2, FALSE), "Merchant not found")</f>
        <v>Merchant_014</v>
      </c>
      <c r="J181" s="5" t="str">
        <f>IFERROR(VLOOKUP($C181, merchants!$A$2:$D$41, 3, FALSE), "Merchant not found")</f>
        <v>grocery</v>
      </c>
      <c r="K181" s="5" t="str">
        <f>IFERROR(VLOOKUP($C181, merchants!$A$2:$D$41, 4, FALSE), "Merchant not found")</f>
        <v>East</v>
      </c>
      <c r="Q181" s="5">
        <f t="shared" si="1"/>
        <v>0.3</v>
      </c>
      <c r="R181" s="6">
        <f t="shared" si="2"/>
        <v>46025</v>
      </c>
      <c r="S181" s="5">
        <f t="shared" si="3"/>
        <v>149</v>
      </c>
      <c r="T181" s="5" t="str">
        <f t="shared" si="4"/>
        <v>Normal</v>
      </c>
    </row>
    <row r="182">
      <c r="A182" s="2" t="s">
        <v>299</v>
      </c>
      <c r="B182" s="2">
        <v>306.0</v>
      </c>
      <c r="C182" s="2">
        <v>1.0</v>
      </c>
      <c r="D182" s="4">
        <v>46033.20138888889</v>
      </c>
      <c r="E182" s="2">
        <v>299.0</v>
      </c>
      <c r="F182" s="2" t="s">
        <v>12</v>
      </c>
      <c r="G182" s="2" t="s">
        <v>61</v>
      </c>
      <c r="H182" s="2">
        <v>35.0</v>
      </c>
      <c r="I182" s="5" t="str">
        <f>IFERROR(VLOOKUP($C182, merchants!$A$2:$D$41, 2, FALSE), "Merchant not found")</f>
        <v>Merchant_001</v>
      </c>
      <c r="J182" s="5" t="str">
        <f>IFERROR(VLOOKUP($C182, merchants!$A$2:$D$41, 3, FALSE), "Merchant not found")</f>
        <v>ecommerce</v>
      </c>
      <c r="K182" s="5" t="str">
        <f>IFERROR(VLOOKUP($C182, merchants!$A$2:$D$41, 4, FALSE), "Merchant not found")</f>
        <v>South</v>
      </c>
      <c r="Q182" s="5">
        <f t="shared" si="1"/>
        <v>0.3</v>
      </c>
      <c r="R182" s="6">
        <f t="shared" si="2"/>
        <v>46033</v>
      </c>
      <c r="S182" s="5">
        <f t="shared" si="3"/>
        <v>299</v>
      </c>
      <c r="T182" s="5" t="str">
        <f t="shared" si="4"/>
        <v>Normal</v>
      </c>
    </row>
    <row r="183">
      <c r="A183" s="2" t="s">
        <v>300</v>
      </c>
      <c r="B183" s="2">
        <v>277.0</v>
      </c>
      <c r="C183" s="2">
        <v>17.0</v>
      </c>
      <c r="D183" s="4">
        <v>46050.17222222222</v>
      </c>
      <c r="E183" s="2">
        <v>299.0</v>
      </c>
      <c r="F183" s="2" t="s">
        <v>12</v>
      </c>
      <c r="G183" s="2" t="s">
        <v>23</v>
      </c>
      <c r="H183" s="2">
        <v>22.0</v>
      </c>
      <c r="I183" s="5" t="str">
        <f>IFERROR(VLOOKUP($C183, merchants!$A$2:$D$41, 2, FALSE), "Merchant not found")</f>
        <v>Merchant_017</v>
      </c>
      <c r="J183" s="5" t="str">
        <f>IFERROR(VLOOKUP($C183, merchants!$A$2:$D$41, 3, FALSE), "Merchant not found")</f>
        <v>grocery</v>
      </c>
      <c r="K183" s="5" t="str">
        <f>IFERROR(VLOOKUP($C183, merchants!$A$2:$D$41, 4, FALSE), "Merchant not found")</f>
        <v>North</v>
      </c>
      <c r="Q183" s="5">
        <f t="shared" si="1"/>
        <v>0.3</v>
      </c>
      <c r="R183" s="6">
        <f t="shared" si="2"/>
        <v>46050</v>
      </c>
      <c r="S183" s="5">
        <f t="shared" si="3"/>
        <v>299</v>
      </c>
      <c r="T183" s="5" t="str">
        <f t="shared" si="4"/>
        <v>Normal</v>
      </c>
    </row>
    <row r="184">
      <c r="A184" s="2" t="s">
        <v>301</v>
      </c>
      <c r="B184" s="2">
        <v>14.0</v>
      </c>
      <c r="C184" s="2">
        <v>9.0</v>
      </c>
      <c r="D184" s="4">
        <v>46026.913194444445</v>
      </c>
      <c r="E184" s="2">
        <v>499.0</v>
      </c>
      <c r="F184" s="2" t="s">
        <v>12</v>
      </c>
      <c r="G184" s="2" t="s">
        <v>23</v>
      </c>
      <c r="H184" s="2">
        <v>1.0</v>
      </c>
      <c r="I184" s="5" t="str">
        <f>IFERROR(VLOOKUP($C184, merchants!$A$2:$D$41, 2, FALSE), "Merchant not found")</f>
        <v>Merchant_009</v>
      </c>
      <c r="J184" s="5" t="str">
        <f>IFERROR(VLOOKUP($C184, merchants!$A$2:$D$41, 3, FALSE), "Merchant not found")</f>
        <v>ecommerce</v>
      </c>
      <c r="K184" s="5" t="str">
        <f>IFERROR(VLOOKUP($C184, merchants!$A$2:$D$41, 4, FALSE), "Merchant not found")</f>
        <v>North</v>
      </c>
      <c r="Q184" s="5">
        <f t="shared" si="1"/>
        <v>0.3</v>
      </c>
      <c r="R184" s="6">
        <f t="shared" si="2"/>
        <v>46026</v>
      </c>
      <c r="S184" s="5">
        <f t="shared" si="3"/>
        <v>499</v>
      </c>
      <c r="T184" s="5" t="str">
        <f t="shared" si="4"/>
        <v>Normal</v>
      </c>
    </row>
    <row r="185">
      <c r="A185" s="2" t="s">
        <v>302</v>
      </c>
      <c r="B185" s="2">
        <v>166.0</v>
      </c>
      <c r="C185" s="2">
        <v>2.0</v>
      </c>
      <c r="D185" s="4">
        <v>46034.31736111111</v>
      </c>
      <c r="E185" s="2">
        <v>299.0</v>
      </c>
      <c r="F185" s="2" t="s">
        <v>14</v>
      </c>
      <c r="G185" s="2" t="s">
        <v>23</v>
      </c>
      <c r="H185" s="2">
        <v>22.0</v>
      </c>
      <c r="I185" s="5" t="str">
        <f>IFERROR(VLOOKUP($C185, merchants!$A$2:$D$41, 2, FALSE), "Merchant not found")</f>
        <v>Merchant_002</v>
      </c>
      <c r="J185" s="5" t="str">
        <f>IFERROR(VLOOKUP($C185, merchants!$A$2:$D$41, 3, FALSE), "Merchant not found")</f>
        <v>grocery</v>
      </c>
      <c r="K185" s="5" t="str">
        <f>IFERROR(VLOOKUP($C185, merchants!$A$2:$D$41, 4, FALSE), "Merchant not found")</f>
        <v>West</v>
      </c>
      <c r="Q185" s="5">
        <f t="shared" si="1"/>
        <v>1.5</v>
      </c>
      <c r="R185" s="6">
        <f t="shared" si="2"/>
        <v>46034</v>
      </c>
      <c r="S185" s="5">
        <f t="shared" si="3"/>
        <v>348</v>
      </c>
      <c r="T185" s="5" t="str">
        <f t="shared" si="4"/>
        <v>Normal</v>
      </c>
    </row>
    <row r="186">
      <c r="A186" s="2" t="s">
        <v>303</v>
      </c>
      <c r="B186" s="2">
        <v>216.0</v>
      </c>
      <c r="C186" s="2">
        <v>34.0</v>
      </c>
      <c r="D186" s="4">
        <v>46031.04722222222</v>
      </c>
      <c r="E186" s="2">
        <v>299.0</v>
      </c>
      <c r="F186" s="2" t="s">
        <v>14</v>
      </c>
      <c r="G186" s="2" t="s">
        <v>23</v>
      </c>
      <c r="H186" s="2">
        <v>14.0</v>
      </c>
      <c r="I186" s="5" t="str">
        <f>IFERROR(VLOOKUP($C186, merchants!$A$2:$D$41, 2, FALSE), "Merchant not found")</f>
        <v>Merchant_034</v>
      </c>
      <c r="J186" s="5" t="str">
        <f>IFERROR(VLOOKUP($C186, merchants!$A$2:$D$41, 3, FALSE), "Merchant not found")</f>
        <v>travel</v>
      </c>
      <c r="K186" s="5" t="str">
        <f>IFERROR(VLOOKUP($C186, merchants!$A$2:$D$41, 4, FALSE), "Merchant not found")</f>
        <v>South</v>
      </c>
      <c r="Q186" s="5">
        <f t="shared" si="1"/>
        <v>1.5</v>
      </c>
      <c r="R186" s="6">
        <f t="shared" si="2"/>
        <v>46031</v>
      </c>
      <c r="S186" s="5">
        <f t="shared" si="3"/>
        <v>299</v>
      </c>
      <c r="T186" s="5" t="str">
        <f t="shared" si="4"/>
        <v>Normal</v>
      </c>
    </row>
    <row r="187">
      <c r="A187" s="2" t="s">
        <v>304</v>
      </c>
      <c r="B187" s="2">
        <v>230.0</v>
      </c>
      <c r="C187" s="2">
        <v>24.0</v>
      </c>
      <c r="D187" s="4">
        <v>46046.104166666664</v>
      </c>
      <c r="E187" s="2">
        <v>49.0</v>
      </c>
      <c r="F187" s="2" t="s">
        <v>12</v>
      </c>
      <c r="G187" s="2" t="s">
        <v>23</v>
      </c>
      <c r="H187" s="2">
        <v>65.0</v>
      </c>
      <c r="I187" s="5" t="str">
        <f>IFERROR(VLOOKUP($C187, merchants!$A$2:$D$41, 2, FALSE), "Merchant not found")</f>
        <v>Merchant_024</v>
      </c>
      <c r="J187" s="5" t="str">
        <f>IFERROR(VLOOKUP($C187, merchants!$A$2:$D$41, 3, FALSE), "Merchant not found")</f>
        <v>grocery</v>
      </c>
      <c r="K187" s="5" t="str">
        <f>IFERROR(VLOOKUP($C187, merchants!$A$2:$D$41, 4, FALSE), "Merchant not found")</f>
        <v>North</v>
      </c>
      <c r="Q187" s="5">
        <f t="shared" si="1"/>
        <v>0.3</v>
      </c>
      <c r="R187" s="6">
        <f t="shared" si="2"/>
        <v>46046</v>
      </c>
      <c r="S187" s="5">
        <f t="shared" si="3"/>
        <v>148</v>
      </c>
      <c r="T187" s="5" t="str">
        <f t="shared" si="4"/>
        <v>Normal</v>
      </c>
    </row>
    <row r="188">
      <c r="A188" s="2" t="s">
        <v>305</v>
      </c>
      <c r="B188" s="2">
        <v>258.0</v>
      </c>
      <c r="C188" s="2">
        <v>15.0</v>
      </c>
      <c r="D188" s="4">
        <v>46041.14444444444</v>
      </c>
      <c r="E188" s="2">
        <v>499.0</v>
      </c>
      <c r="F188" s="2" t="s">
        <v>13</v>
      </c>
      <c r="G188" s="2" t="s">
        <v>23</v>
      </c>
      <c r="H188" s="2">
        <v>78.0</v>
      </c>
      <c r="I188" s="5" t="str">
        <f>IFERROR(VLOOKUP($C188, merchants!$A$2:$D$41, 2, FALSE), "Merchant not found")</f>
        <v>Merchant_015</v>
      </c>
      <c r="J188" s="5" t="str">
        <f>IFERROR(VLOOKUP($C188, merchants!$A$2:$D$41, 3, FALSE), "Merchant not found")</f>
        <v>travel</v>
      </c>
      <c r="K188" s="5" t="str">
        <f>IFERROR(VLOOKUP($C188, merchants!$A$2:$D$41, 4, FALSE), "Merchant not found")</f>
        <v>North</v>
      </c>
      <c r="Q188" s="5">
        <f t="shared" si="1"/>
        <v>0.5</v>
      </c>
      <c r="R188" s="6">
        <f t="shared" si="2"/>
        <v>46041</v>
      </c>
      <c r="S188" s="5">
        <f t="shared" si="3"/>
        <v>499</v>
      </c>
      <c r="T188" s="5" t="str">
        <f t="shared" si="4"/>
        <v>Normal</v>
      </c>
    </row>
    <row r="189">
      <c r="A189" s="2" t="s">
        <v>306</v>
      </c>
      <c r="B189" s="2">
        <v>338.0</v>
      </c>
      <c r="C189" s="2">
        <v>34.0</v>
      </c>
      <c r="D189" s="4">
        <v>46024.993055555555</v>
      </c>
      <c r="E189" s="2">
        <v>49.0</v>
      </c>
      <c r="F189" s="2" t="s">
        <v>12</v>
      </c>
      <c r="G189" s="2" t="s">
        <v>23</v>
      </c>
      <c r="H189" s="2">
        <v>38.0</v>
      </c>
      <c r="I189" s="5" t="str">
        <f>IFERROR(VLOOKUP($C189, merchants!$A$2:$D$41, 2, FALSE), "Merchant not found")</f>
        <v>Merchant_034</v>
      </c>
      <c r="J189" s="5" t="str">
        <f>IFERROR(VLOOKUP($C189, merchants!$A$2:$D$41, 3, FALSE), "Merchant not found")</f>
        <v>travel</v>
      </c>
      <c r="K189" s="5" t="str">
        <f>IFERROR(VLOOKUP($C189, merchants!$A$2:$D$41, 4, FALSE), "Merchant not found")</f>
        <v>South</v>
      </c>
      <c r="Q189" s="5">
        <f t="shared" si="1"/>
        <v>0.3</v>
      </c>
      <c r="R189" s="6">
        <f t="shared" si="2"/>
        <v>46024</v>
      </c>
      <c r="S189" s="5">
        <f t="shared" si="3"/>
        <v>548</v>
      </c>
      <c r="T189" s="5" t="str">
        <f t="shared" si="4"/>
        <v>Normal</v>
      </c>
    </row>
    <row r="190">
      <c r="A190" s="2" t="s">
        <v>307</v>
      </c>
      <c r="B190" s="2">
        <v>32.0</v>
      </c>
      <c r="C190" s="2">
        <v>31.0</v>
      </c>
      <c r="D190" s="4">
        <v>46037.834027777775</v>
      </c>
      <c r="E190" s="2">
        <v>299.0</v>
      </c>
      <c r="F190" s="2" t="s">
        <v>12</v>
      </c>
      <c r="G190" s="2" t="s">
        <v>23</v>
      </c>
      <c r="H190" s="2">
        <v>51.0</v>
      </c>
      <c r="I190" s="5" t="str">
        <f>IFERROR(VLOOKUP($C190, merchants!$A$2:$D$41, 2, FALSE), "Merchant not found")</f>
        <v>Merchant_031</v>
      </c>
      <c r="J190" s="5" t="str">
        <f>IFERROR(VLOOKUP($C190, merchants!$A$2:$D$41, 3, FALSE), "Merchant not found")</f>
        <v>bill_payment</v>
      </c>
      <c r="K190" s="5" t="str">
        <f>IFERROR(VLOOKUP($C190, merchants!$A$2:$D$41, 4, FALSE), "Merchant not found")</f>
        <v>East</v>
      </c>
      <c r="Q190" s="5">
        <f t="shared" si="1"/>
        <v>0.3</v>
      </c>
      <c r="R190" s="6">
        <f t="shared" si="2"/>
        <v>46037</v>
      </c>
      <c r="S190" s="5">
        <f t="shared" si="3"/>
        <v>299</v>
      </c>
      <c r="T190" s="5" t="str">
        <f t="shared" si="4"/>
        <v>Normal</v>
      </c>
    </row>
    <row r="191">
      <c r="A191" s="2" t="s">
        <v>308</v>
      </c>
      <c r="B191" s="2">
        <v>252.0</v>
      </c>
      <c r="C191" s="2">
        <v>29.0</v>
      </c>
      <c r="D191" s="4">
        <v>46036.879166666666</v>
      </c>
      <c r="E191" s="2">
        <v>1499.0</v>
      </c>
      <c r="F191" s="2" t="s">
        <v>12</v>
      </c>
      <c r="G191" s="2" t="s">
        <v>23</v>
      </c>
      <c r="H191" s="2">
        <v>9.0</v>
      </c>
      <c r="I191" s="5" t="str">
        <f>IFERROR(VLOOKUP($C191, merchants!$A$2:$D$41, 2, FALSE), "Merchant not found")</f>
        <v>Merchant_029</v>
      </c>
      <c r="J191" s="5" t="str">
        <f>IFERROR(VLOOKUP($C191, merchants!$A$2:$D$41, 3, FALSE), "Merchant not found")</f>
        <v>ecommerce</v>
      </c>
      <c r="K191" s="5" t="str">
        <f>IFERROR(VLOOKUP($C191, merchants!$A$2:$D$41, 4, FALSE), "Merchant not found")</f>
        <v>North</v>
      </c>
      <c r="Q191" s="5">
        <f t="shared" si="1"/>
        <v>0.3</v>
      </c>
      <c r="R191" s="6">
        <f t="shared" si="2"/>
        <v>46036</v>
      </c>
      <c r="S191" s="5">
        <f t="shared" si="3"/>
        <v>1998</v>
      </c>
      <c r="T191" s="5" t="str">
        <f t="shared" si="4"/>
        <v>Normal</v>
      </c>
    </row>
    <row r="192">
      <c r="A192" s="2" t="s">
        <v>309</v>
      </c>
      <c r="B192" s="2">
        <v>312.0</v>
      </c>
      <c r="C192" s="2">
        <v>10.0</v>
      </c>
      <c r="D192" s="4">
        <v>46051.09722222222</v>
      </c>
      <c r="E192" s="2">
        <v>799.0</v>
      </c>
      <c r="F192" s="2" t="s">
        <v>12</v>
      </c>
      <c r="G192" s="2" t="s">
        <v>23</v>
      </c>
      <c r="H192" s="2">
        <v>8.0</v>
      </c>
      <c r="I192" s="5" t="str">
        <f>IFERROR(VLOOKUP($C192, merchants!$A$2:$D$41, 2, FALSE), "Merchant not found")</f>
        <v>Merchant_010</v>
      </c>
      <c r="J192" s="5" t="str">
        <f>IFERROR(VLOOKUP($C192, merchants!$A$2:$D$41, 3, FALSE), "Merchant not found")</f>
        <v>grocery</v>
      </c>
      <c r="K192" s="5" t="str">
        <f>IFERROR(VLOOKUP($C192, merchants!$A$2:$D$41, 4, FALSE), "Merchant not found")</f>
        <v>West</v>
      </c>
      <c r="Q192" s="5">
        <f t="shared" si="1"/>
        <v>0.3</v>
      </c>
      <c r="R192" s="6">
        <f t="shared" si="2"/>
        <v>46051</v>
      </c>
      <c r="S192" s="5">
        <f t="shared" si="3"/>
        <v>799</v>
      </c>
      <c r="T192" s="5" t="str">
        <f t="shared" si="4"/>
        <v>Normal</v>
      </c>
    </row>
    <row r="193">
      <c r="A193" s="2" t="s">
        <v>310</v>
      </c>
      <c r="B193" s="2">
        <v>325.0</v>
      </c>
      <c r="C193" s="2">
        <v>38.0</v>
      </c>
      <c r="D193" s="4">
        <v>46027.36041666667</v>
      </c>
      <c r="E193" s="2">
        <v>1499.0</v>
      </c>
      <c r="F193" s="2" t="s">
        <v>15</v>
      </c>
      <c r="G193" s="2" t="s">
        <v>23</v>
      </c>
      <c r="H193" s="2">
        <v>70.0</v>
      </c>
      <c r="I193" s="5" t="str">
        <f>IFERROR(VLOOKUP($C193, merchants!$A$2:$D$41, 2, FALSE), "Merchant not found")</f>
        <v>Merchant_038</v>
      </c>
      <c r="J193" s="5" t="str">
        <f>IFERROR(VLOOKUP($C193, merchants!$A$2:$D$41, 3, FALSE), "Merchant not found")</f>
        <v>grocery</v>
      </c>
      <c r="K193" s="5" t="str">
        <f>IFERROR(VLOOKUP($C193, merchants!$A$2:$D$41, 4, FALSE), "Merchant not found")</f>
        <v>East</v>
      </c>
      <c r="Q193" s="5">
        <f t="shared" si="1"/>
        <v>0.9</v>
      </c>
      <c r="R193" s="6">
        <f t="shared" si="2"/>
        <v>46027</v>
      </c>
      <c r="S193" s="5">
        <f t="shared" si="3"/>
        <v>1499</v>
      </c>
      <c r="T193" s="5" t="str">
        <f t="shared" si="4"/>
        <v>Normal</v>
      </c>
    </row>
    <row r="194">
      <c r="A194" s="2" t="s">
        <v>311</v>
      </c>
      <c r="B194" s="2">
        <v>306.0</v>
      </c>
      <c r="C194" s="2">
        <v>34.0</v>
      </c>
      <c r="D194" s="4">
        <v>46045.433333333334</v>
      </c>
      <c r="E194" s="2">
        <v>2999.0</v>
      </c>
      <c r="F194" s="2" t="s">
        <v>12</v>
      </c>
      <c r="G194" s="2" t="s">
        <v>23</v>
      </c>
      <c r="H194" s="2">
        <v>37.0</v>
      </c>
      <c r="I194" s="5" t="str">
        <f>IFERROR(VLOOKUP($C194, merchants!$A$2:$D$41, 2, FALSE), "Merchant not found")</f>
        <v>Merchant_034</v>
      </c>
      <c r="J194" s="5" t="str">
        <f>IFERROR(VLOOKUP($C194, merchants!$A$2:$D$41, 3, FALSE), "Merchant not found")</f>
        <v>travel</v>
      </c>
      <c r="K194" s="5" t="str">
        <f>IFERROR(VLOOKUP($C194, merchants!$A$2:$D$41, 4, FALSE), "Merchant not found")</f>
        <v>South</v>
      </c>
      <c r="Q194" s="5">
        <f t="shared" si="1"/>
        <v>0.3</v>
      </c>
      <c r="R194" s="6">
        <f t="shared" si="2"/>
        <v>46045</v>
      </c>
      <c r="S194" s="5">
        <f t="shared" si="3"/>
        <v>3148</v>
      </c>
      <c r="T194" s="5" t="str">
        <f t="shared" si="4"/>
        <v>Normal</v>
      </c>
    </row>
    <row r="195">
      <c r="A195" s="2" t="s">
        <v>312</v>
      </c>
      <c r="B195" s="2">
        <v>221.0</v>
      </c>
      <c r="C195" s="2">
        <v>7.0</v>
      </c>
      <c r="D195" s="4">
        <v>46037.69305555556</v>
      </c>
      <c r="E195" s="2">
        <v>149.0</v>
      </c>
      <c r="F195" s="2" t="s">
        <v>15</v>
      </c>
      <c r="G195" s="2" t="s">
        <v>23</v>
      </c>
      <c r="H195" s="2">
        <v>89.0</v>
      </c>
      <c r="I195" s="5" t="str">
        <f>IFERROR(VLOOKUP($C195, merchants!$A$2:$D$41, 2, FALSE), "Merchant not found")</f>
        <v>Merchant_007</v>
      </c>
      <c r="J195" s="5" t="str">
        <f>IFERROR(VLOOKUP($C195, merchants!$A$2:$D$41, 3, FALSE), "Merchant not found")</f>
        <v>food_delivery</v>
      </c>
      <c r="K195" s="5" t="str">
        <f>IFERROR(VLOOKUP($C195, merchants!$A$2:$D$41, 4, FALSE), "Merchant not found")</f>
        <v>East</v>
      </c>
      <c r="Q195" s="5">
        <f t="shared" si="1"/>
        <v>0.9</v>
      </c>
      <c r="R195" s="6">
        <f t="shared" si="2"/>
        <v>46037</v>
      </c>
      <c r="S195" s="5">
        <f t="shared" si="3"/>
        <v>1648</v>
      </c>
      <c r="T195" s="5" t="str">
        <f t="shared" si="4"/>
        <v>Normal</v>
      </c>
    </row>
    <row r="196">
      <c r="A196" s="2" t="s">
        <v>313</v>
      </c>
      <c r="B196" s="2">
        <v>283.0</v>
      </c>
      <c r="C196" s="2">
        <v>14.0</v>
      </c>
      <c r="D196" s="4">
        <v>46026.861805555556</v>
      </c>
      <c r="E196" s="2">
        <v>99.0</v>
      </c>
      <c r="F196" s="2" t="s">
        <v>13</v>
      </c>
      <c r="G196" s="2" t="s">
        <v>23</v>
      </c>
      <c r="H196" s="2">
        <v>55.0</v>
      </c>
      <c r="I196" s="5" t="str">
        <f>IFERROR(VLOOKUP($C196, merchants!$A$2:$D$41, 2, FALSE), "Merchant not found")</f>
        <v>Merchant_014</v>
      </c>
      <c r="J196" s="5" t="str">
        <f>IFERROR(VLOOKUP($C196, merchants!$A$2:$D$41, 3, FALSE), "Merchant not found")</f>
        <v>grocery</v>
      </c>
      <c r="K196" s="5" t="str">
        <f>IFERROR(VLOOKUP($C196, merchants!$A$2:$D$41, 4, FALSE), "Merchant not found")</f>
        <v>East</v>
      </c>
      <c r="Q196" s="5">
        <f t="shared" si="1"/>
        <v>0.5</v>
      </c>
      <c r="R196" s="6">
        <f t="shared" si="2"/>
        <v>46026</v>
      </c>
      <c r="S196" s="5">
        <f t="shared" si="3"/>
        <v>99</v>
      </c>
      <c r="T196" s="5" t="str">
        <f t="shared" si="4"/>
        <v>Normal</v>
      </c>
    </row>
    <row r="197">
      <c r="A197" s="2" t="s">
        <v>314</v>
      </c>
      <c r="B197" s="2">
        <v>174.0</v>
      </c>
      <c r="C197" s="2">
        <v>30.0</v>
      </c>
      <c r="D197" s="4">
        <v>46037.30972222222</v>
      </c>
      <c r="E197" s="2">
        <v>49.0</v>
      </c>
      <c r="F197" s="2" t="s">
        <v>12</v>
      </c>
      <c r="G197" s="2" t="s">
        <v>23</v>
      </c>
      <c r="H197" s="2">
        <v>51.0</v>
      </c>
      <c r="I197" s="5" t="str">
        <f>IFERROR(VLOOKUP($C197, merchants!$A$2:$D$41, 2, FALSE), "Merchant not found")</f>
        <v>Merchant_030</v>
      </c>
      <c r="J197" s="5" t="str">
        <f>IFERROR(VLOOKUP($C197, merchants!$A$2:$D$41, 3, FALSE), "Merchant not found")</f>
        <v>travel</v>
      </c>
      <c r="K197" s="5" t="str">
        <f>IFERROR(VLOOKUP($C197, merchants!$A$2:$D$41, 4, FALSE), "Merchant not found")</f>
        <v>West</v>
      </c>
      <c r="Q197" s="5">
        <f t="shared" si="1"/>
        <v>0.3</v>
      </c>
      <c r="R197" s="6">
        <f t="shared" si="2"/>
        <v>46037</v>
      </c>
      <c r="S197" s="5">
        <f t="shared" si="3"/>
        <v>49</v>
      </c>
      <c r="T197" s="5" t="str">
        <f t="shared" si="4"/>
        <v>Normal</v>
      </c>
    </row>
    <row r="198">
      <c r="A198" s="2" t="s">
        <v>315</v>
      </c>
      <c r="B198" s="2">
        <v>161.0</v>
      </c>
      <c r="C198" s="2">
        <v>28.0</v>
      </c>
      <c r="D198" s="4">
        <v>46036.9625</v>
      </c>
      <c r="E198" s="2">
        <v>49.0</v>
      </c>
      <c r="F198" s="2" t="s">
        <v>12</v>
      </c>
      <c r="G198" s="2" t="s">
        <v>23</v>
      </c>
      <c r="H198" s="2">
        <v>40.0</v>
      </c>
      <c r="I198" s="5" t="str">
        <f>IFERROR(VLOOKUP($C198, merchants!$A$2:$D$41, 2, FALSE), "Merchant not found")</f>
        <v>Merchant_028</v>
      </c>
      <c r="J198" s="5" t="str">
        <f>IFERROR(VLOOKUP($C198, merchants!$A$2:$D$41, 3, FALSE), "Merchant not found")</f>
        <v>ecommerce</v>
      </c>
      <c r="K198" s="5" t="str">
        <f>IFERROR(VLOOKUP($C198, merchants!$A$2:$D$41, 4, FALSE), "Merchant not found")</f>
        <v>South</v>
      </c>
      <c r="Q198" s="5">
        <f t="shared" si="1"/>
        <v>0.3</v>
      </c>
      <c r="R198" s="6">
        <f t="shared" si="2"/>
        <v>46036</v>
      </c>
      <c r="S198" s="5">
        <f t="shared" si="3"/>
        <v>49</v>
      </c>
      <c r="T198" s="5" t="str">
        <f t="shared" si="4"/>
        <v>Normal</v>
      </c>
    </row>
    <row r="199">
      <c r="A199" s="2" t="s">
        <v>316</v>
      </c>
      <c r="B199" s="2">
        <v>79.0</v>
      </c>
      <c r="C199" s="2">
        <v>31.0</v>
      </c>
      <c r="D199" s="4">
        <v>46044.34930555556</v>
      </c>
      <c r="E199" s="2">
        <v>99.0</v>
      </c>
      <c r="F199" s="2" t="s">
        <v>12</v>
      </c>
      <c r="G199" s="2" t="s">
        <v>23</v>
      </c>
      <c r="H199" s="2">
        <v>8.0</v>
      </c>
      <c r="I199" s="5" t="str">
        <f>IFERROR(VLOOKUP($C199, merchants!$A$2:$D$41, 2, FALSE), "Merchant not found")</f>
        <v>Merchant_031</v>
      </c>
      <c r="J199" s="5" t="str">
        <f>IFERROR(VLOOKUP($C199, merchants!$A$2:$D$41, 3, FALSE), "Merchant not found")</f>
        <v>bill_payment</v>
      </c>
      <c r="K199" s="5" t="str">
        <f>IFERROR(VLOOKUP($C199, merchants!$A$2:$D$41, 4, FALSE), "Merchant not found")</f>
        <v>East</v>
      </c>
      <c r="Q199" s="5">
        <f t="shared" si="1"/>
        <v>0.3</v>
      </c>
      <c r="R199" s="6">
        <f t="shared" si="2"/>
        <v>46044</v>
      </c>
      <c r="S199" s="5">
        <f t="shared" si="3"/>
        <v>99</v>
      </c>
      <c r="T199" s="5" t="str">
        <f t="shared" si="4"/>
        <v>Normal</v>
      </c>
    </row>
    <row r="200">
      <c r="A200" s="2" t="s">
        <v>317</v>
      </c>
      <c r="B200" s="2">
        <v>222.0</v>
      </c>
      <c r="C200" s="2">
        <v>7.0</v>
      </c>
      <c r="D200" s="4">
        <v>46025.086805555555</v>
      </c>
      <c r="E200" s="2">
        <v>149.0</v>
      </c>
      <c r="F200" s="2" t="s">
        <v>13</v>
      </c>
      <c r="G200" s="2" t="s">
        <v>23</v>
      </c>
      <c r="H200" s="2">
        <v>95.0</v>
      </c>
      <c r="I200" s="5" t="str">
        <f>IFERROR(VLOOKUP($C200, merchants!$A$2:$D$41, 2, FALSE), "Merchant not found")</f>
        <v>Merchant_007</v>
      </c>
      <c r="J200" s="5" t="str">
        <f>IFERROR(VLOOKUP($C200, merchants!$A$2:$D$41, 3, FALSE), "Merchant not found")</f>
        <v>food_delivery</v>
      </c>
      <c r="K200" s="5" t="str">
        <f>IFERROR(VLOOKUP($C200, merchants!$A$2:$D$41, 4, FALSE), "Merchant not found")</f>
        <v>East</v>
      </c>
      <c r="Q200" s="5">
        <f t="shared" si="1"/>
        <v>0.5</v>
      </c>
      <c r="R200" s="6">
        <f t="shared" si="2"/>
        <v>46025</v>
      </c>
      <c r="S200" s="5">
        <f t="shared" si="3"/>
        <v>149</v>
      </c>
      <c r="T200" s="5" t="str">
        <f t="shared" si="4"/>
        <v>Normal</v>
      </c>
    </row>
    <row r="201">
      <c r="A201" s="2" t="s">
        <v>318</v>
      </c>
      <c r="B201" s="2">
        <v>67.0</v>
      </c>
      <c r="C201" s="2">
        <v>36.0</v>
      </c>
      <c r="D201" s="4">
        <v>46046.49375</v>
      </c>
      <c r="E201" s="2">
        <v>99.0</v>
      </c>
      <c r="F201" s="2" t="s">
        <v>12</v>
      </c>
      <c r="G201" s="2" t="s">
        <v>23</v>
      </c>
      <c r="H201" s="2">
        <v>7.0</v>
      </c>
      <c r="I201" s="5" t="str">
        <f>IFERROR(VLOOKUP($C201, merchants!$A$2:$D$41, 2, FALSE), "Merchant not found")</f>
        <v>Merchant_036</v>
      </c>
      <c r="J201" s="5" t="str">
        <f>IFERROR(VLOOKUP($C201, merchants!$A$2:$D$41, 3, FALSE), "Merchant not found")</f>
        <v>entertainment</v>
      </c>
      <c r="K201" s="5" t="str">
        <f>IFERROR(VLOOKUP($C201, merchants!$A$2:$D$41, 4, FALSE), "Merchant not found")</f>
        <v>East</v>
      </c>
      <c r="Q201" s="5">
        <f t="shared" si="1"/>
        <v>0.3</v>
      </c>
      <c r="R201" s="6">
        <f t="shared" si="2"/>
        <v>46046</v>
      </c>
      <c r="S201" s="5">
        <f t="shared" si="3"/>
        <v>1647</v>
      </c>
      <c r="T201" s="5" t="str">
        <f t="shared" si="4"/>
        <v>Normal</v>
      </c>
    </row>
    <row r="202">
      <c r="A202" s="2" t="s">
        <v>319</v>
      </c>
      <c r="B202" s="2">
        <v>169.0</v>
      </c>
      <c r="C202" s="2">
        <v>8.0</v>
      </c>
      <c r="D202" s="4">
        <v>46041.73263888889</v>
      </c>
      <c r="E202" s="2">
        <v>99.0</v>
      </c>
      <c r="F202" s="2" t="s">
        <v>12</v>
      </c>
      <c r="G202" s="2" t="s">
        <v>23</v>
      </c>
      <c r="H202" s="2">
        <v>52.0</v>
      </c>
      <c r="I202" s="5" t="str">
        <f>IFERROR(VLOOKUP($C202, merchants!$A$2:$D$41, 2, FALSE), "Merchant not found")</f>
        <v>Merchant_008</v>
      </c>
      <c r="J202" s="5" t="str">
        <f>IFERROR(VLOOKUP($C202, merchants!$A$2:$D$41, 3, FALSE), "Merchant not found")</f>
        <v>food_delivery</v>
      </c>
      <c r="K202" s="5" t="str">
        <f>IFERROR(VLOOKUP($C202, merchants!$A$2:$D$41, 4, FALSE), "Merchant not found")</f>
        <v>North</v>
      </c>
      <c r="Q202" s="5">
        <f t="shared" si="1"/>
        <v>0.3</v>
      </c>
      <c r="R202" s="6">
        <f t="shared" si="2"/>
        <v>46041</v>
      </c>
      <c r="S202" s="5">
        <f t="shared" si="3"/>
        <v>99</v>
      </c>
      <c r="T202" s="5" t="str">
        <f t="shared" si="4"/>
        <v>Normal</v>
      </c>
    </row>
    <row r="203">
      <c r="A203" s="2" t="s">
        <v>320</v>
      </c>
      <c r="B203" s="2">
        <v>217.0</v>
      </c>
      <c r="C203" s="2">
        <v>4.0</v>
      </c>
      <c r="D203" s="4">
        <v>46034.90833333333</v>
      </c>
      <c r="E203" s="2">
        <v>49.0</v>
      </c>
      <c r="F203" s="2" t="s">
        <v>12</v>
      </c>
      <c r="G203" s="2" t="s">
        <v>23</v>
      </c>
      <c r="H203" s="2">
        <v>36.0</v>
      </c>
      <c r="I203" s="5" t="str">
        <f>IFERROR(VLOOKUP($C203, merchants!$A$2:$D$41, 2, FALSE), "Merchant not found")</f>
        <v>Merchant_004</v>
      </c>
      <c r="J203" s="5" t="str">
        <f>IFERROR(VLOOKUP($C203, merchants!$A$2:$D$41, 3, FALSE), "Merchant not found")</f>
        <v>ecommerce</v>
      </c>
      <c r="K203" s="5" t="str">
        <f>IFERROR(VLOOKUP($C203, merchants!$A$2:$D$41, 4, FALSE), "Merchant not found")</f>
        <v>East</v>
      </c>
      <c r="Q203" s="5">
        <f t="shared" si="1"/>
        <v>0.3</v>
      </c>
      <c r="R203" s="6">
        <f t="shared" si="2"/>
        <v>46034</v>
      </c>
      <c r="S203" s="5">
        <f t="shared" si="3"/>
        <v>49</v>
      </c>
      <c r="T203" s="5" t="str">
        <f t="shared" si="4"/>
        <v>Normal</v>
      </c>
    </row>
    <row r="204">
      <c r="A204" s="2" t="s">
        <v>321</v>
      </c>
      <c r="B204" s="2">
        <v>54.0</v>
      </c>
      <c r="C204" s="2">
        <v>37.0</v>
      </c>
      <c r="D204" s="4">
        <v>46042.39027777778</v>
      </c>
      <c r="E204" s="2">
        <v>149.0</v>
      </c>
      <c r="F204" s="2" t="s">
        <v>12</v>
      </c>
      <c r="G204" s="2" t="s">
        <v>23</v>
      </c>
      <c r="H204" s="2">
        <v>64.0</v>
      </c>
      <c r="I204" s="5" t="str">
        <f>IFERROR(VLOOKUP($C204, merchants!$A$2:$D$41, 2, FALSE), "Merchant not found")</f>
        <v>Merchant_037</v>
      </c>
      <c r="J204" s="5" t="str">
        <f>IFERROR(VLOOKUP($C204, merchants!$A$2:$D$41, 3, FALSE), "Merchant not found")</f>
        <v>entertainment</v>
      </c>
      <c r="K204" s="5" t="str">
        <f>IFERROR(VLOOKUP($C204, merchants!$A$2:$D$41, 4, FALSE), "Merchant not found")</f>
        <v>South</v>
      </c>
      <c r="Q204" s="5">
        <f t="shared" si="1"/>
        <v>0.3</v>
      </c>
      <c r="R204" s="6">
        <f t="shared" si="2"/>
        <v>46042</v>
      </c>
      <c r="S204" s="5">
        <f t="shared" si="3"/>
        <v>149</v>
      </c>
      <c r="T204" s="5" t="str">
        <f t="shared" si="4"/>
        <v>Normal</v>
      </c>
    </row>
    <row r="205">
      <c r="A205" s="2" t="s">
        <v>322</v>
      </c>
      <c r="B205" s="2">
        <v>247.0</v>
      </c>
      <c r="C205" s="2">
        <v>15.0</v>
      </c>
      <c r="D205" s="4">
        <v>46029.19583333333</v>
      </c>
      <c r="E205" s="2">
        <v>49.0</v>
      </c>
      <c r="F205" s="2" t="s">
        <v>14</v>
      </c>
      <c r="G205" s="2" t="s">
        <v>23</v>
      </c>
      <c r="H205" s="2">
        <v>13.0</v>
      </c>
      <c r="I205" s="5" t="str">
        <f>IFERROR(VLOOKUP($C205, merchants!$A$2:$D$41, 2, FALSE), "Merchant not found")</f>
        <v>Merchant_015</v>
      </c>
      <c r="J205" s="5" t="str">
        <f>IFERROR(VLOOKUP($C205, merchants!$A$2:$D$41, 3, FALSE), "Merchant not found")</f>
        <v>travel</v>
      </c>
      <c r="K205" s="5" t="str">
        <f>IFERROR(VLOOKUP($C205, merchants!$A$2:$D$41, 4, FALSE), "Merchant not found")</f>
        <v>North</v>
      </c>
      <c r="Q205" s="5">
        <f t="shared" si="1"/>
        <v>1.5</v>
      </c>
      <c r="R205" s="6">
        <f t="shared" si="2"/>
        <v>46029</v>
      </c>
      <c r="S205" s="5">
        <f t="shared" si="3"/>
        <v>49</v>
      </c>
      <c r="T205" s="5" t="str">
        <f t="shared" si="4"/>
        <v>Normal</v>
      </c>
    </row>
    <row r="206">
      <c r="A206" s="2" t="s">
        <v>323</v>
      </c>
      <c r="B206" s="2">
        <v>59.0</v>
      </c>
      <c r="C206" s="2">
        <v>18.0</v>
      </c>
      <c r="D206" s="4">
        <v>46034.72430555556</v>
      </c>
      <c r="E206" s="2">
        <v>49.0</v>
      </c>
      <c r="F206" s="2" t="s">
        <v>14</v>
      </c>
      <c r="G206" s="2" t="s">
        <v>23</v>
      </c>
      <c r="H206" s="2">
        <v>73.0</v>
      </c>
      <c r="I206" s="5" t="str">
        <f>IFERROR(VLOOKUP($C206, merchants!$A$2:$D$41, 2, FALSE), "Merchant not found")</f>
        <v>Merchant_018</v>
      </c>
      <c r="J206" s="5" t="str">
        <f>IFERROR(VLOOKUP($C206, merchants!$A$2:$D$41, 3, FALSE), "Merchant not found")</f>
        <v>grocery</v>
      </c>
      <c r="K206" s="5" t="str">
        <f>IFERROR(VLOOKUP($C206, merchants!$A$2:$D$41, 4, FALSE), "Merchant not found")</f>
        <v>West</v>
      </c>
      <c r="Q206" s="5">
        <f t="shared" si="1"/>
        <v>1.5</v>
      </c>
      <c r="R206" s="6">
        <f t="shared" si="2"/>
        <v>46034</v>
      </c>
      <c r="S206" s="5">
        <f t="shared" si="3"/>
        <v>49</v>
      </c>
      <c r="T206" s="5" t="str">
        <f t="shared" si="4"/>
        <v>Normal</v>
      </c>
    </row>
    <row r="207">
      <c r="A207" s="2" t="s">
        <v>324</v>
      </c>
      <c r="B207" s="2">
        <v>288.0</v>
      </c>
      <c r="C207" s="2">
        <v>40.0</v>
      </c>
      <c r="D207" s="4">
        <v>46030.57916666667</v>
      </c>
      <c r="E207" s="2">
        <v>49.0</v>
      </c>
      <c r="F207" s="2" t="s">
        <v>12</v>
      </c>
      <c r="G207" s="2" t="s">
        <v>61</v>
      </c>
      <c r="H207" s="2">
        <v>78.0</v>
      </c>
      <c r="I207" s="5" t="str">
        <f>IFERROR(VLOOKUP($C207, merchants!$A$2:$D$41, 2, FALSE), "Merchant not found")</f>
        <v>Merchant_040</v>
      </c>
      <c r="J207" s="5" t="str">
        <f>IFERROR(VLOOKUP($C207, merchants!$A$2:$D$41, 3, FALSE), "Merchant not found")</f>
        <v>entertainment</v>
      </c>
      <c r="K207" s="5" t="str">
        <f>IFERROR(VLOOKUP($C207, merchants!$A$2:$D$41, 4, FALSE), "Merchant not found")</f>
        <v>South</v>
      </c>
      <c r="Q207" s="5">
        <f t="shared" si="1"/>
        <v>0.3</v>
      </c>
      <c r="R207" s="6">
        <f t="shared" si="2"/>
        <v>46030</v>
      </c>
      <c r="S207" s="5">
        <f t="shared" si="3"/>
        <v>49</v>
      </c>
      <c r="T207" s="5" t="str">
        <f t="shared" si="4"/>
        <v>Normal</v>
      </c>
    </row>
    <row r="208">
      <c r="A208" s="2" t="s">
        <v>325</v>
      </c>
      <c r="B208" s="2">
        <v>14.0</v>
      </c>
      <c r="C208" s="2">
        <v>39.0</v>
      </c>
      <c r="D208" s="4">
        <v>46044.85763888889</v>
      </c>
      <c r="E208" s="2">
        <v>799.0</v>
      </c>
      <c r="F208" s="2" t="s">
        <v>12</v>
      </c>
      <c r="G208" s="2" t="s">
        <v>23</v>
      </c>
      <c r="H208" s="2">
        <v>84.0</v>
      </c>
      <c r="I208" s="5" t="str">
        <f>IFERROR(VLOOKUP($C208, merchants!$A$2:$D$41, 2, FALSE), "Merchant not found")</f>
        <v>Merchant_039</v>
      </c>
      <c r="J208" s="5" t="str">
        <f>IFERROR(VLOOKUP($C208, merchants!$A$2:$D$41, 3, FALSE), "Merchant not found")</f>
        <v>entertainment</v>
      </c>
      <c r="K208" s="5" t="str">
        <f>IFERROR(VLOOKUP($C208, merchants!$A$2:$D$41, 4, FALSE), "Merchant not found")</f>
        <v>North</v>
      </c>
      <c r="Q208" s="5">
        <f t="shared" si="1"/>
        <v>0.3</v>
      </c>
      <c r="R208" s="6">
        <f t="shared" si="2"/>
        <v>46044</v>
      </c>
      <c r="S208" s="5">
        <f t="shared" si="3"/>
        <v>9796</v>
      </c>
      <c r="T208" s="5" t="str">
        <f t="shared" si="4"/>
        <v>High-Value Merchant Day</v>
      </c>
    </row>
    <row r="209">
      <c r="A209" s="2" t="s">
        <v>326</v>
      </c>
      <c r="B209" s="2">
        <v>15.0</v>
      </c>
      <c r="C209" s="2">
        <v>12.0</v>
      </c>
      <c r="D209" s="4">
        <v>46049.92847222222</v>
      </c>
      <c r="E209" s="2">
        <v>149.0</v>
      </c>
      <c r="F209" s="2" t="s">
        <v>12</v>
      </c>
      <c r="G209" s="2" t="s">
        <v>23</v>
      </c>
      <c r="H209" s="2">
        <v>34.0</v>
      </c>
      <c r="I209" s="5" t="str">
        <f>IFERROR(VLOOKUP($C209, merchants!$A$2:$D$41, 2, FALSE), "Merchant not found")</f>
        <v>Merchant_012</v>
      </c>
      <c r="J209" s="5" t="str">
        <f>IFERROR(VLOOKUP($C209, merchants!$A$2:$D$41, 3, FALSE), "Merchant not found")</f>
        <v>ecommerce</v>
      </c>
      <c r="K209" s="5" t="str">
        <f>IFERROR(VLOOKUP($C209, merchants!$A$2:$D$41, 4, FALSE), "Merchant not found")</f>
        <v>East</v>
      </c>
      <c r="Q209" s="5">
        <f t="shared" si="1"/>
        <v>0.3</v>
      </c>
      <c r="R209" s="6">
        <f t="shared" si="2"/>
        <v>46049</v>
      </c>
      <c r="S209" s="5">
        <f t="shared" si="3"/>
        <v>149</v>
      </c>
      <c r="T209" s="5" t="str">
        <f t="shared" si="4"/>
        <v>Normal</v>
      </c>
    </row>
    <row r="210">
      <c r="A210" s="2" t="s">
        <v>327</v>
      </c>
      <c r="B210" s="2">
        <v>174.0</v>
      </c>
      <c r="C210" s="2">
        <v>23.0</v>
      </c>
      <c r="D210" s="4">
        <v>46045.41527777778</v>
      </c>
      <c r="E210" s="2">
        <v>149.0</v>
      </c>
      <c r="F210" s="2" t="s">
        <v>12</v>
      </c>
      <c r="G210" s="2" t="s">
        <v>23</v>
      </c>
      <c r="H210" s="2">
        <v>0.0</v>
      </c>
      <c r="I210" s="5" t="str">
        <f>IFERROR(VLOOKUP($C210, merchants!$A$2:$D$41, 2, FALSE), "Merchant not found")</f>
        <v>Merchant_023</v>
      </c>
      <c r="J210" s="5" t="str">
        <f>IFERROR(VLOOKUP($C210, merchants!$A$2:$D$41, 3, FALSE), "Merchant not found")</f>
        <v>travel</v>
      </c>
      <c r="K210" s="5" t="str">
        <f>IFERROR(VLOOKUP($C210, merchants!$A$2:$D$41, 4, FALSE), "Merchant not found")</f>
        <v>North</v>
      </c>
      <c r="Q210" s="5">
        <f t="shared" si="1"/>
        <v>0.3</v>
      </c>
      <c r="R210" s="6">
        <f t="shared" si="2"/>
        <v>46045</v>
      </c>
      <c r="S210" s="5">
        <f t="shared" si="3"/>
        <v>247</v>
      </c>
      <c r="T210" s="5" t="str">
        <f t="shared" si="4"/>
        <v>Normal</v>
      </c>
    </row>
    <row r="211">
      <c r="A211" s="2" t="s">
        <v>328</v>
      </c>
      <c r="B211" s="2">
        <v>337.0</v>
      </c>
      <c r="C211" s="2">
        <v>26.0</v>
      </c>
      <c r="D211" s="4">
        <v>46028.191666666666</v>
      </c>
      <c r="E211" s="2">
        <v>49.0</v>
      </c>
      <c r="F211" s="2" t="s">
        <v>12</v>
      </c>
      <c r="G211" s="2" t="s">
        <v>23</v>
      </c>
      <c r="H211" s="2">
        <v>8.0</v>
      </c>
      <c r="I211" s="5" t="str">
        <f>IFERROR(VLOOKUP($C211, merchants!$A$2:$D$41, 2, FALSE), "Merchant not found")</f>
        <v>Merchant_026</v>
      </c>
      <c r="J211" s="5" t="str">
        <f>IFERROR(VLOOKUP($C211, merchants!$A$2:$D$41, 3, FALSE), "Merchant not found")</f>
        <v>food_delivery</v>
      </c>
      <c r="K211" s="5" t="str">
        <f>IFERROR(VLOOKUP($C211, merchants!$A$2:$D$41, 4, FALSE), "Merchant not found")</f>
        <v>East</v>
      </c>
      <c r="Q211" s="5">
        <f t="shared" si="1"/>
        <v>0.3</v>
      </c>
      <c r="R211" s="6">
        <f t="shared" si="2"/>
        <v>46028</v>
      </c>
      <c r="S211" s="5">
        <f t="shared" si="3"/>
        <v>49</v>
      </c>
      <c r="T211" s="5" t="str">
        <f t="shared" si="4"/>
        <v>Normal</v>
      </c>
    </row>
    <row r="212">
      <c r="A212" s="2" t="s">
        <v>329</v>
      </c>
      <c r="B212" s="2">
        <v>16.0</v>
      </c>
      <c r="C212" s="2">
        <v>6.0</v>
      </c>
      <c r="D212" s="4">
        <v>46027.98611111111</v>
      </c>
      <c r="E212" s="2">
        <v>1499.0</v>
      </c>
      <c r="F212" s="2" t="s">
        <v>12</v>
      </c>
      <c r="G212" s="2" t="s">
        <v>23</v>
      </c>
      <c r="H212" s="2">
        <v>95.0</v>
      </c>
      <c r="I212" s="5" t="str">
        <f>IFERROR(VLOOKUP($C212, merchants!$A$2:$D$41, 2, FALSE), "Merchant not found")</f>
        <v>Merchant_006</v>
      </c>
      <c r="J212" s="5" t="str">
        <f>IFERROR(VLOOKUP($C212, merchants!$A$2:$D$41, 3, FALSE), "Merchant not found")</f>
        <v>food_delivery</v>
      </c>
      <c r="K212" s="5" t="str">
        <f>IFERROR(VLOOKUP($C212, merchants!$A$2:$D$41, 4, FALSE), "Merchant not found")</f>
        <v>South</v>
      </c>
      <c r="Q212" s="5">
        <f t="shared" si="1"/>
        <v>0.3</v>
      </c>
      <c r="R212" s="6">
        <f t="shared" si="2"/>
        <v>46027</v>
      </c>
      <c r="S212" s="5">
        <f t="shared" si="3"/>
        <v>1499</v>
      </c>
      <c r="T212" s="5" t="str">
        <f t="shared" si="4"/>
        <v>Normal</v>
      </c>
    </row>
    <row r="213">
      <c r="A213" s="2" t="s">
        <v>330</v>
      </c>
      <c r="B213" s="2">
        <v>215.0</v>
      </c>
      <c r="C213" s="2">
        <v>30.0</v>
      </c>
      <c r="D213" s="4">
        <v>46039.26666666667</v>
      </c>
      <c r="E213" s="2">
        <v>49.0</v>
      </c>
      <c r="F213" s="2" t="s">
        <v>12</v>
      </c>
      <c r="G213" s="2" t="s">
        <v>23</v>
      </c>
      <c r="H213" s="2">
        <v>43.0</v>
      </c>
      <c r="I213" s="5" t="str">
        <f>IFERROR(VLOOKUP($C213, merchants!$A$2:$D$41, 2, FALSE), "Merchant not found")</f>
        <v>Merchant_030</v>
      </c>
      <c r="J213" s="5" t="str">
        <f>IFERROR(VLOOKUP($C213, merchants!$A$2:$D$41, 3, FALSE), "Merchant not found")</f>
        <v>travel</v>
      </c>
      <c r="K213" s="5" t="str">
        <f>IFERROR(VLOOKUP($C213, merchants!$A$2:$D$41, 4, FALSE), "Merchant not found")</f>
        <v>West</v>
      </c>
      <c r="Q213" s="5">
        <f t="shared" si="1"/>
        <v>0.3</v>
      </c>
      <c r="R213" s="6">
        <f t="shared" si="2"/>
        <v>46039</v>
      </c>
      <c r="S213" s="5">
        <f t="shared" si="3"/>
        <v>49</v>
      </c>
      <c r="T213" s="5" t="str">
        <f t="shared" si="4"/>
        <v>Normal</v>
      </c>
    </row>
    <row r="214">
      <c r="A214" s="2" t="s">
        <v>331</v>
      </c>
      <c r="B214" s="2">
        <v>167.0</v>
      </c>
      <c r="C214" s="2">
        <v>37.0</v>
      </c>
      <c r="D214" s="4">
        <v>46028.47152777778</v>
      </c>
      <c r="E214" s="2">
        <v>99.0</v>
      </c>
      <c r="F214" s="2" t="s">
        <v>12</v>
      </c>
      <c r="G214" s="2" t="s">
        <v>23</v>
      </c>
      <c r="H214" s="2">
        <v>76.0</v>
      </c>
      <c r="I214" s="5" t="str">
        <f>IFERROR(VLOOKUP($C214, merchants!$A$2:$D$41, 2, FALSE), "Merchant not found")</f>
        <v>Merchant_037</v>
      </c>
      <c r="J214" s="5" t="str">
        <f>IFERROR(VLOOKUP($C214, merchants!$A$2:$D$41, 3, FALSE), "Merchant not found")</f>
        <v>entertainment</v>
      </c>
      <c r="K214" s="5" t="str">
        <f>IFERROR(VLOOKUP($C214, merchants!$A$2:$D$41, 4, FALSE), "Merchant not found")</f>
        <v>South</v>
      </c>
      <c r="Q214" s="5">
        <f t="shared" si="1"/>
        <v>0.3</v>
      </c>
      <c r="R214" s="6">
        <f t="shared" si="2"/>
        <v>46028</v>
      </c>
      <c r="S214" s="5">
        <f t="shared" si="3"/>
        <v>99</v>
      </c>
      <c r="T214" s="5" t="str">
        <f t="shared" si="4"/>
        <v>Normal</v>
      </c>
    </row>
    <row r="215">
      <c r="A215" s="2" t="s">
        <v>332</v>
      </c>
      <c r="B215" s="2">
        <v>81.0</v>
      </c>
      <c r="C215" s="2">
        <v>40.0</v>
      </c>
      <c r="D215" s="4">
        <v>46025.04791666667</v>
      </c>
      <c r="E215" s="2">
        <v>49.0</v>
      </c>
      <c r="F215" s="2" t="s">
        <v>12</v>
      </c>
      <c r="G215" s="2" t="s">
        <v>23</v>
      </c>
      <c r="H215" s="2">
        <v>6.0</v>
      </c>
      <c r="I215" s="5" t="str">
        <f>IFERROR(VLOOKUP($C215, merchants!$A$2:$D$41, 2, FALSE), "Merchant not found")</f>
        <v>Merchant_040</v>
      </c>
      <c r="J215" s="5" t="str">
        <f>IFERROR(VLOOKUP($C215, merchants!$A$2:$D$41, 3, FALSE), "Merchant not found")</f>
        <v>entertainment</v>
      </c>
      <c r="K215" s="5" t="str">
        <f>IFERROR(VLOOKUP($C215, merchants!$A$2:$D$41, 4, FALSE), "Merchant not found")</f>
        <v>South</v>
      </c>
      <c r="Q215" s="5">
        <f t="shared" si="1"/>
        <v>0.3</v>
      </c>
      <c r="R215" s="6">
        <f t="shared" si="2"/>
        <v>46025</v>
      </c>
      <c r="S215" s="5">
        <f t="shared" si="3"/>
        <v>49</v>
      </c>
      <c r="T215" s="5" t="str">
        <f t="shared" si="4"/>
        <v>Normal</v>
      </c>
    </row>
    <row r="216">
      <c r="A216" s="2" t="s">
        <v>333</v>
      </c>
      <c r="B216" s="2">
        <v>227.0</v>
      </c>
      <c r="C216" s="2">
        <v>28.0</v>
      </c>
      <c r="D216" s="4">
        <v>46044.095138888886</v>
      </c>
      <c r="E216" s="2">
        <v>99.0</v>
      </c>
      <c r="F216" s="2" t="s">
        <v>12</v>
      </c>
      <c r="G216" s="2" t="s">
        <v>23</v>
      </c>
      <c r="H216" s="2">
        <v>62.0</v>
      </c>
      <c r="I216" s="5" t="str">
        <f>IFERROR(VLOOKUP($C216, merchants!$A$2:$D$41, 2, FALSE), "Merchant not found")</f>
        <v>Merchant_028</v>
      </c>
      <c r="J216" s="5" t="str">
        <f>IFERROR(VLOOKUP($C216, merchants!$A$2:$D$41, 3, FALSE), "Merchant not found")</f>
        <v>ecommerce</v>
      </c>
      <c r="K216" s="5" t="str">
        <f>IFERROR(VLOOKUP($C216, merchants!$A$2:$D$41, 4, FALSE), "Merchant not found")</f>
        <v>South</v>
      </c>
      <c r="Q216" s="5">
        <f t="shared" si="1"/>
        <v>0.3</v>
      </c>
      <c r="R216" s="6">
        <f t="shared" si="2"/>
        <v>46044</v>
      </c>
      <c r="S216" s="5">
        <f t="shared" si="3"/>
        <v>99</v>
      </c>
      <c r="T216" s="5" t="str">
        <f t="shared" si="4"/>
        <v>Normal</v>
      </c>
    </row>
    <row r="217">
      <c r="A217" s="2" t="s">
        <v>334</v>
      </c>
      <c r="B217" s="2">
        <v>140.0</v>
      </c>
      <c r="C217" s="2">
        <v>14.0</v>
      </c>
      <c r="D217" s="4">
        <v>46042.60138888889</v>
      </c>
      <c r="E217" s="2">
        <v>299.0</v>
      </c>
      <c r="F217" s="2" t="s">
        <v>13</v>
      </c>
      <c r="G217" s="2" t="s">
        <v>23</v>
      </c>
      <c r="H217" s="2">
        <v>96.0</v>
      </c>
      <c r="I217" s="5" t="str">
        <f>IFERROR(VLOOKUP($C217, merchants!$A$2:$D$41, 2, FALSE), "Merchant not found")</f>
        <v>Merchant_014</v>
      </c>
      <c r="J217" s="5" t="str">
        <f>IFERROR(VLOOKUP($C217, merchants!$A$2:$D$41, 3, FALSE), "Merchant not found")</f>
        <v>grocery</v>
      </c>
      <c r="K217" s="5" t="str">
        <f>IFERROR(VLOOKUP($C217, merchants!$A$2:$D$41, 4, FALSE), "Merchant not found")</f>
        <v>East</v>
      </c>
      <c r="Q217" s="5">
        <f t="shared" si="1"/>
        <v>0.5</v>
      </c>
      <c r="R217" s="6">
        <f t="shared" si="2"/>
        <v>46042</v>
      </c>
      <c r="S217" s="5">
        <f t="shared" si="3"/>
        <v>299</v>
      </c>
      <c r="T217" s="5" t="str">
        <f t="shared" si="4"/>
        <v>Normal</v>
      </c>
    </row>
    <row r="218">
      <c r="A218" s="2" t="s">
        <v>335</v>
      </c>
      <c r="B218" s="2">
        <v>221.0</v>
      </c>
      <c r="C218" s="2">
        <v>8.0</v>
      </c>
      <c r="D218" s="4">
        <v>46039.14027777778</v>
      </c>
      <c r="E218" s="2">
        <v>299.0</v>
      </c>
      <c r="F218" s="2" t="s">
        <v>12</v>
      </c>
      <c r="G218" s="2" t="s">
        <v>23</v>
      </c>
      <c r="H218" s="2">
        <v>36.0</v>
      </c>
      <c r="I218" s="5" t="str">
        <f>IFERROR(VLOOKUP($C218, merchants!$A$2:$D$41, 2, FALSE), "Merchant not found")</f>
        <v>Merchant_008</v>
      </c>
      <c r="J218" s="5" t="str">
        <f>IFERROR(VLOOKUP($C218, merchants!$A$2:$D$41, 3, FALSE), "Merchant not found")</f>
        <v>food_delivery</v>
      </c>
      <c r="K218" s="5" t="str">
        <f>IFERROR(VLOOKUP($C218, merchants!$A$2:$D$41, 4, FALSE), "Merchant not found")</f>
        <v>North</v>
      </c>
      <c r="Q218" s="5">
        <f t="shared" si="1"/>
        <v>0.3</v>
      </c>
      <c r="R218" s="6">
        <f t="shared" si="2"/>
        <v>46039</v>
      </c>
      <c r="S218" s="5">
        <f t="shared" si="3"/>
        <v>348</v>
      </c>
      <c r="T218" s="5" t="str">
        <f t="shared" si="4"/>
        <v>Normal</v>
      </c>
    </row>
    <row r="219">
      <c r="A219" s="2" t="s">
        <v>336</v>
      </c>
      <c r="B219" s="2">
        <v>250.0</v>
      </c>
      <c r="C219" s="2">
        <v>34.0</v>
      </c>
      <c r="D219" s="4">
        <v>46044.90069444444</v>
      </c>
      <c r="E219" s="2">
        <v>299.0</v>
      </c>
      <c r="F219" s="2" t="s">
        <v>13</v>
      </c>
      <c r="G219" s="2" t="s">
        <v>23</v>
      </c>
      <c r="H219" s="2">
        <v>85.0</v>
      </c>
      <c r="I219" s="5" t="str">
        <f>IFERROR(VLOOKUP($C219, merchants!$A$2:$D$41, 2, FALSE), "Merchant not found")</f>
        <v>Merchant_034</v>
      </c>
      <c r="J219" s="5" t="str">
        <f>IFERROR(VLOOKUP($C219, merchants!$A$2:$D$41, 3, FALSE), "Merchant not found")</f>
        <v>travel</v>
      </c>
      <c r="K219" s="5" t="str">
        <f>IFERROR(VLOOKUP($C219, merchants!$A$2:$D$41, 4, FALSE), "Merchant not found")</f>
        <v>South</v>
      </c>
      <c r="Q219" s="5">
        <f t="shared" si="1"/>
        <v>0.5</v>
      </c>
      <c r="R219" s="6">
        <f t="shared" si="2"/>
        <v>46044</v>
      </c>
      <c r="S219" s="5">
        <f t="shared" si="3"/>
        <v>299</v>
      </c>
      <c r="T219" s="5" t="str">
        <f t="shared" si="4"/>
        <v>Normal</v>
      </c>
    </row>
    <row r="220">
      <c r="A220" s="2" t="s">
        <v>337</v>
      </c>
      <c r="B220" s="2">
        <v>203.0</v>
      </c>
      <c r="C220" s="2">
        <v>39.0</v>
      </c>
      <c r="D220" s="4">
        <v>46032.05138888889</v>
      </c>
      <c r="E220" s="2">
        <v>49.0</v>
      </c>
      <c r="F220" s="2" t="s">
        <v>12</v>
      </c>
      <c r="G220" s="2" t="s">
        <v>23</v>
      </c>
      <c r="H220" s="2">
        <v>7.0</v>
      </c>
      <c r="I220" s="5" t="str">
        <f>IFERROR(VLOOKUP($C220, merchants!$A$2:$D$41, 2, FALSE), "Merchant not found")</f>
        <v>Merchant_039</v>
      </c>
      <c r="J220" s="5" t="str">
        <f>IFERROR(VLOOKUP($C220, merchants!$A$2:$D$41, 3, FALSE), "Merchant not found")</f>
        <v>entertainment</v>
      </c>
      <c r="K220" s="5" t="str">
        <f>IFERROR(VLOOKUP($C220, merchants!$A$2:$D$41, 4, FALSE), "Merchant not found")</f>
        <v>North</v>
      </c>
      <c r="Q220" s="5">
        <f t="shared" si="1"/>
        <v>0.3</v>
      </c>
      <c r="R220" s="6">
        <f t="shared" si="2"/>
        <v>46032</v>
      </c>
      <c r="S220" s="5">
        <f t="shared" si="3"/>
        <v>49</v>
      </c>
      <c r="T220" s="5" t="str">
        <f t="shared" si="4"/>
        <v>Normal</v>
      </c>
    </row>
    <row r="221">
      <c r="A221" s="2" t="s">
        <v>338</v>
      </c>
      <c r="B221" s="2">
        <v>109.0</v>
      </c>
      <c r="C221" s="2">
        <v>9.0</v>
      </c>
      <c r="D221" s="4">
        <v>46023.263194444444</v>
      </c>
      <c r="E221" s="2">
        <v>499.0</v>
      </c>
      <c r="F221" s="2" t="s">
        <v>13</v>
      </c>
      <c r="G221" s="2" t="s">
        <v>23</v>
      </c>
      <c r="H221" s="2">
        <v>97.0</v>
      </c>
      <c r="I221" s="5" t="str">
        <f>IFERROR(VLOOKUP($C221, merchants!$A$2:$D$41, 2, FALSE), "Merchant not found")</f>
        <v>Merchant_009</v>
      </c>
      <c r="J221" s="5" t="str">
        <f>IFERROR(VLOOKUP($C221, merchants!$A$2:$D$41, 3, FALSE), "Merchant not found")</f>
        <v>ecommerce</v>
      </c>
      <c r="K221" s="5" t="str">
        <f>IFERROR(VLOOKUP($C221, merchants!$A$2:$D$41, 4, FALSE), "Merchant not found")</f>
        <v>North</v>
      </c>
      <c r="Q221" s="5">
        <f t="shared" si="1"/>
        <v>0.5</v>
      </c>
      <c r="R221" s="6">
        <f t="shared" si="2"/>
        <v>46023</v>
      </c>
      <c r="S221" s="5">
        <f t="shared" si="3"/>
        <v>499</v>
      </c>
      <c r="T221" s="5" t="str">
        <f t="shared" si="4"/>
        <v>Normal</v>
      </c>
    </row>
    <row r="222">
      <c r="A222" s="2" t="s">
        <v>339</v>
      </c>
      <c r="B222" s="2">
        <v>62.0</v>
      </c>
      <c r="C222" s="2">
        <v>1.0</v>
      </c>
      <c r="D222" s="4">
        <v>46031.38888888889</v>
      </c>
      <c r="E222" s="2">
        <v>4999.0</v>
      </c>
      <c r="F222" s="2" t="s">
        <v>13</v>
      </c>
      <c r="G222" s="2" t="s">
        <v>23</v>
      </c>
      <c r="H222" s="2">
        <v>63.0</v>
      </c>
      <c r="I222" s="5" t="str">
        <f>IFERROR(VLOOKUP($C222, merchants!$A$2:$D$41, 2, FALSE), "Merchant not found")</f>
        <v>Merchant_001</v>
      </c>
      <c r="J222" s="5" t="str">
        <f>IFERROR(VLOOKUP($C222, merchants!$A$2:$D$41, 3, FALSE), "Merchant not found")</f>
        <v>ecommerce</v>
      </c>
      <c r="K222" s="5" t="str">
        <f>IFERROR(VLOOKUP($C222, merchants!$A$2:$D$41, 4, FALSE), "Merchant not found")</f>
        <v>South</v>
      </c>
      <c r="Q222" s="5">
        <f t="shared" si="1"/>
        <v>0.5</v>
      </c>
      <c r="R222" s="6">
        <f t="shared" si="2"/>
        <v>46031</v>
      </c>
      <c r="S222" s="5">
        <f t="shared" si="3"/>
        <v>5048</v>
      </c>
      <c r="T222" s="5" t="str">
        <f t="shared" si="4"/>
        <v>High-Value Merchant Day</v>
      </c>
    </row>
    <row r="223">
      <c r="A223" s="2" t="s">
        <v>340</v>
      </c>
      <c r="B223" s="2">
        <v>67.0</v>
      </c>
      <c r="C223" s="2">
        <v>25.0</v>
      </c>
      <c r="D223" s="4">
        <v>46046.549305555556</v>
      </c>
      <c r="E223" s="2">
        <v>49.0</v>
      </c>
      <c r="F223" s="2" t="s">
        <v>12</v>
      </c>
      <c r="G223" s="2" t="s">
        <v>23</v>
      </c>
      <c r="H223" s="2">
        <v>68.0</v>
      </c>
      <c r="I223" s="5" t="str">
        <f>IFERROR(VLOOKUP($C223, merchants!$A$2:$D$41, 2, FALSE), "Merchant not found")</f>
        <v>Merchant_025</v>
      </c>
      <c r="J223" s="5" t="str">
        <f>IFERROR(VLOOKUP($C223, merchants!$A$2:$D$41, 3, FALSE), "Merchant not found")</f>
        <v>travel</v>
      </c>
      <c r="K223" s="5" t="str">
        <f>IFERROR(VLOOKUP($C223, merchants!$A$2:$D$41, 4, FALSE), "Merchant not found")</f>
        <v>South</v>
      </c>
      <c r="Q223" s="5">
        <f t="shared" si="1"/>
        <v>0.3</v>
      </c>
      <c r="R223" s="6">
        <f t="shared" si="2"/>
        <v>46046</v>
      </c>
      <c r="S223" s="5">
        <f t="shared" si="3"/>
        <v>497</v>
      </c>
      <c r="T223" s="5" t="str">
        <f t="shared" si="4"/>
        <v>Normal</v>
      </c>
    </row>
    <row r="224">
      <c r="A224" s="2" t="s">
        <v>341</v>
      </c>
      <c r="B224" s="2">
        <v>287.0</v>
      </c>
      <c r="C224" s="2">
        <v>23.0</v>
      </c>
      <c r="D224" s="4">
        <v>46045.313888888886</v>
      </c>
      <c r="E224" s="2">
        <v>49.0</v>
      </c>
      <c r="F224" s="2" t="s">
        <v>12</v>
      </c>
      <c r="G224" s="2" t="s">
        <v>23</v>
      </c>
      <c r="H224" s="2">
        <v>9.0</v>
      </c>
      <c r="I224" s="5" t="str">
        <f>IFERROR(VLOOKUP($C224, merchants!$A$2:$D$41, 2, FALSE), "Merchant not found")</f>
        <v>Merchant_023</v>
      </c>
      <c r="J224" s="5" t="str">
        <f>IFERROR(VLOOKUP($C224, merchants!$A$2:$D$41, 3, FALSE), "Merchant not found")</f>
        <v>travel</v>
      </c>
      <c r="K224" s="5" t="str">
        <f>IFERROR(VLOOKUP($C224, merchants!$A$2:$D$41, 4, FALSE), "Merchant not found")</f>
        <v>North</v>
      </c>
      <c r="Q224" s="5">
        <f t="shared" si="1"/>
        <v>0.3</v>
      </c>
      <c r="R224" s="6">
        <f t="shared" si="2"/>
        <v>46045</v>
      </c>
      <c r="S224" s="5">
        <f t="shared" si="3"/>
        <v>247</v>
      </c>
      <c r="T224" s="5" t="str">
        <f t="shared" si="4"/>
        <v>Normal</v>
      </c>
    </row>
    <row r="225">
      <c r="A225" s="2" t="s">
        <v>342</v>
      </c>
      <c r="B225" s="2">
        <v>224.0</v>
      </c>
      <c r="C225" s="2">
        <v>2.0</v>
      </c>
      <c r="D225" s="4">
        <v>46035.95972222222</v>
      </c>
      <c r="E225" s="2">
        <v>49.0</v>
      </c>
      <c r="F225" s="2" t="s">
        <v>14</v>
      </c>
      <c r="G225" s="2" t="s">
        <v>23</v>
      </c>
      <c r="H225" s="2">
        <v>58.0</v>
      </c>
      <c r="I225" s="5" t="str">
        <f>IFERROR(VLOOKUP($C225, merchants!$A$2:$D$41, 2, FALSE), "Merchant not found")</f>
        <v>Merchant_002</v>
      </c>
      <c r="J225" s="5" t="str">
        <f>IFERROR(VLOOKUP($C225, merchants!$A$2:$D$41, 3, FALSE), "Merchant not found")</f>
        <v>grocery</v>
      </c>
      <c r="K225" s="5" t="str">
        <f>IFERROR(VLOOKUP($C225, merchants!$A$2:$D$41, 4, FALSE), "Merchant not found")</f>
        <v>West</v>
      </c>
      <c r="Q225" s="5">
        <f t="shared" si="1"/>
        <v>1.5</v>
      </c>
      <c r="R225" s="6">
        <f t="shared" si="2"/>
        <v>46035</v>
      </c>
      <c r="S225" s="5">
        <f t="shared" si="3"/>
        <v>49</v>
      </c>
      <c r="T225" s="5" t="str">
        <f t="shared" si="4"/>
        <v>Normal</v>
      </c>
    </row>
    <row r="226">
      <c r="A226" s="2" t="s">
        <v>343</v>
      </c>
      <c r="B226" s="2">
        <v>161.0</v>
      </c>
      <c r="C226" s="2">
        <v>37.0</v>
      </c>
      <c r="D226" s="4">
        <v>46052.12152777778</v>
      </c>
      <c r="E226" s="2">
        <v>299.0</v>
      </c>
      <c r="F226" s="2" t="s">
        <v>12</v>
      </c>
      <c r="G226" s="2" t="s">
        <v>23</v>
      </c>
      <c r="H226" s="2">
        <v>54.0</v>
      </c>
      <c r="I226" s="5" t="str">
        <f>IFERROR(VLOOKUP($C226, merchants!$A$2:$D$41, 2, FALSE), "Merchant not found")</f>
        <v>Merchant_037</v>
      </c>
      <c r="J226" s="5" t="str">
        <f>IFERROR(VLOOKUP($C226, merchants!$A$2:$D$41, 3, FALSE), "Merchant not found")</f>
        <v>entertainment</v>
      </c>
      <c r="K226" s="5" t="str">
        <f>IFERROR(VLOOKUP($C226, merchants!$A$2:$D$41, 4, FALSE), "Merchant not found")</f>
        <v>South</v>
      </c>
      <c r="Q226" s="5">
        <f t="shared" si="1"/>
        <v>0.3</v>
      </c>
      <c r="R226" s="6">
        <f t="shared" si="2"/>
        <v>46052</v>
      </c>
      <c r="S226" s="5">
        <f t="shared" si="3"/>
        <v>299</v>
      </c>
      <c r="T226" s="5" t="str">
        <f t="shared" si="4"/>
        <v>Normal</v>
      </c>
    </row>
    <row r="227">
      <c r="A227" s="2" t="s">
        <v>344</v>
      </c>
      <c r="B227" s="2">
        <v>328.0</v>
      </c>
      <c r="C227" s="2">
        <v>27.0</v>
      </c>
      <c r="D227" s="4">
        <v>46041.53125</v>
      </c>
      <c r="E227" s="2">
        <v>49.0</v>
      </c>
      <c r="F227" s="2" t="s">
        <v>12</v>
      </c>
      <c r="G227" s="2" t="s">
        <v>69</v>
      </c>
      <c r="H227" s="2">
        <v>37.0</v>
      </c>
      <c r="I227" s="5" t="str">
        <f>IFERROR(VLOOKUP($C227, merchants!$A$2:$D$41, 2, FALSE), "Merchant not found")</f>
        <v>Merchant_027</v>
      </c>
      <c r="J227" s="5" t="str">
        <f>IFERROR(VLOOKUP($C227, merchants!$A$2:$D$41, 3, FALSE), "Merchant not found")</f>
        <v>ecommerce</v>
      </c>
      <c r="K227" s="5" t="str">
        <f>IFERROR(VLOOKUP($C227, merchants!$A$2:$D$41, 4, FALSE), "Merchant not found")</f>
        <v>North</v>
      </c>
      <c r="Q227" s="5">
        <f t="shared" si="1"/>
        <v>0.3</v>
      </c>
      <c r="R227" s="6">
        <f t="shared" si="2"/>
        <v>46041</v>
      </c>
      <c r="S227" s="5">
        <f t="shared" si="3"/>
        <v>49</v>
      </c>
      <c r="T227" s="5" t="str">
        <f t="shared" si="4"/>
        <v>Normal</v>
      </c>
    </row>
    <row r="228">
      <c r="A228" s="2" t="s">
        <v>345</v>
      </c>
      <c r="B228" s="2">
        <v>167.0</v>
      </c>
      <c r="C228" s="2">
        <v>11.0</v>
      </c>
      <c r="D228" s="4">
        <v>46026.50069444445</v>
      </c>
      <c r="E228" s="2">
        <v>1499.0</v>
      </c>
      <c r="F228" s="2" t="s">
        <v>14</v>
      </c>
      <c r="G228" s="2" t="s">
        <v>61</v>
      </c>
      <c r="H228" s="2">
        <v>79.0</v>
      </c>
      <c r="I228" s="5" t="str">
        <f>IFERROR(VLOOKUP($C228, merchants!$A$2:$D$41, 2, FALSE), "Merchant not found")</f>
        <v>Merchant_011</v>
      </c>
      <c r="J228" s="5" t="str">
        <f>IFERROR(VLOOKUP($C228, merchants!$A$2:$D$41, 3, FALSE), "Merchant not found")</f>
        <v>ecommerce</v>
      </c>
      <c r="K228" s="5" t="str">
        <f>IFERROR(VLOOKUP($C228, merchants!$A$2:$D$41, 4, FALSE), "Merchant not found")</f>
        <v>North</v>
      </c>
      <c r="Q228" s="5">
        <f t="shared" si="1"/>
        <v>1.5</v>
      </c>
      <c r="R228" s="6">
        <f t="shared" si="2"/>
        <v>46026</v>
      </c>
      <c r="S228" s="5">
        <f t="shared" si="3"/>
        <v>1499</v>
      </c>
      <c r="T228" s="5" t="str">
        <f t="shared" si="4"/>
        <v>Normal</v>
      </c>
    </row>
    <row r="229">
      <c r="A229" s="2" t="s">
        <v>346</v>
      </c>
      <c r="B229" s="2">
        <v>186.0</v>
      </c>
      <c r="C229" s="2">
        <v>6.0</v>
      </c>
      <c r="D229" s="4">
        <v>46037.95694444444</v>
      </c>
      <c r="E229" s="2">
        <v>49.0</v>
      </c>
      <c r="F229" s="2" t="s">
        <v>13</v>
      </c>
      <c r="G229" s="2" t="s">
        <v>23</v>
      </c>
      <c r="H229" s="2">
        <v>55.0</v>
      </c>
      <c r="I229" s="5" t="str">
        <f>IFERROR(VLOOKUP($C229, merchants!$A$2:$D$41, 2, FALSE), "Merchant not found")</f>
        <v>Merchant_006</v>
      </c>
      <c r="J229" s="5" t="str">
        <f>IFERROR(VLOOKUP($C229, merchants!$A$2:$D$41, 3, FALSE), "Merchant not found")</f>
        <v>food_delivery</v>
      </c>
      <c r="K229" s="5" t="str">
        <f>IFERROR(VLOOKUP($C229, merchants!$A$2:$D$41, 4, FALSE), "Merchant not found")</f>
        <v>South</v>
      </c>
      <c r="Q229" s="5">
        <f t="shared" si="1"/>
        <v>0.5</v>
      </c>
      <c r="R229" s="6">
        <f t="shared" si="2"/>
        <v>46037</v>
      </c>
      <c r="S229" s="5">
        <f t="shared" si="3"/>
        <v>49</v>
      </c>
      <c r="T229" s="5" t="str">
        <f t="shared" si="4"/>
        <v>Normal</v>
      </c>
    </row>
    <row r="230">
      <c r="A230" s="2" t="s">
        <v>347</v>
      </c>
      <c r="B230" s="2">
        <v>224.0</v>
      </c>
      <c r="C230" s="2">
        <v>38.0</v>
      </c>
      <c r="D230" s="4">
        <v>46050.135416666664</v>
      </c>
      <c r="E230" s="2">
        <v>299.0</v>
      </c>
      <c r="F230" s="2" t="s">
        <v>13</v>
      </c>
      <c r="G230" s="2" t="s">
        <v>61</v>
      </c>
      <c r="H230" s="2">
        <v>51.0</v>
      </c>
      <c r="I230" s="5" t="str">
        <f>IFERROR(VLOOKUP($C230, merchants!$A$2:$D$41, 2, FALSE), "Merchant not found")</f>
        <v>Merchant_038</v>
      </c>
      <c r="J230" s="5" t="str">
        <f>IFERROR(VLOOKUP($C230, merchants!$A$2:$D$41, 3, FALSE), "Merchant not found")</f>
        <v>grocery</v>
      </c>
      <c r="K230" s="5" t="str">
        <f>IFERROR(VLOOKUP($C230, merchants!$A$2:$D$41, 4, FALSE), "Merchant not found")</f>
        <v>East</v>
      </c>
      <c r="Q230" s="5">
        <f t="shared" si="1"/>
        <v>0.5</v>
      </c>
      <c r="R230" s="6">
        <f t="shared" si="2"/>
        <v>46050</v>
      </c>
      <c r="S230" s="5">
        <f t="shared" si="3"/>
        <v>299</v>
      </c>
      <c r="T230" s="5" t="str">
        <f t="shared" si="4"/>
        <v>Normal</v>
      </c>
    </row>
    <row r="231">
      <c r="A231" s="2" t="s">
        <v>348</v>
      </c>
      <c r="B231" s="2">
        <v>159.0</v>
      </c>
      <c r="C231" s="2">
        <v>22.0</v>
      </c>
      <c r="D231" s="4">
        <v>46039.100694444445</v>
      </c>
      <c r="E231" s="2">
        <v>799.0</v>
      </c>
      <c r="F231" s="2" t="s">
        <v>12</v>
      </c>
      <c r="G231" s="2" t="s">
        <v>23</v>
      </c>
      <c r="H231" s="2">
        <v>28.0</v>
      </c>
      <c r="I231" s="5" t="str">
        <f>IFERROR(VLOOKUP($C231, merchants!$A$2:$D$41, 2, FALSE), "Merchant not found")</f>
        <v>Merchant_022</v>
      </c>
      <c r="J231" s="5" t="str">
        <f>IFERROR(VLOOKUP($C231, merchants!$A$2:$D$41, 3, FALSE), "Merchant not found")</f>
        <v>travel</v>
      </c>
      <c r="K231" s="5" t="str">
        <f>IFERROR(VLOOKUP($C231, merchants!$A$2:$D$41, 4, FALSE), "Merchant not found")</f>
        <v>South</v>
      </c>
      <c r="Q231" s="5">
        <f t="shared" si="1"/>
        <v>0.3</v>
      </c>
      <c r="R231" s="6">
        <f t="shared" si="2"/>
        <v>46039</v>
      </c>
      <c r="S231" s="5">
        <f t="shared" si="3"/>
        <v>1598</v>
      </c>
      <c r="T231" s="5" t="str">
        <f t="shared" si="4"/>
        <v>Normal</v>
      </c>
    </row>
    <row r="232">
      <c r="A232" s="2" t="s">
        <v>349</v>
      </c>
      <c r="B232" s="2">
        <v>262.0</v>
      </c>
      <c r="C232" s="2">
        <v>8.0</v>
      </c>
      <c r="D232" s="4">
        <v>46033.21111111111</v>
      </c>
      <c r="E232" s="2">
        <v>149.0</v>
      </c>
      <c r="F232" s="2" t="s">
        <v>12</v>
      </c>
      <c r="G232" s="2" t="s">
        <v>23</v>
      </c>
      <c r="H232" s="2">
        <v>67.0</v>
      </c>
      <c r="I232" s="5" t="str">
        <f>IFERROR(VLOOKUP($C232, merchants!$A$2:$D$41, 2, FALSE), "Merchant not found")</f>
        <v>Merchant_008</v>
      </c>
      <c r="J232" s="5" t="str">
        <f>IFERROR(VLOOKUP($C232, merchants!$A$2:$D$41, 3, FALSE), "Merchant not found")</f>
        <v>food_delivery</v>
      </c>
      <c r="K232" s="5" t="str">
        <f>IFERROR(VLOOKUP($C232, merchants!$A$2:$D$41, 4, FALSE), "Merchant not found")</f>
        <v>North</v>
      </c>
      <c r="Q232" s="5">
        <f t="shared" si="1"/>
        <v>0.3</v>
      </c>
      <c r="R232" s="6">
        <f t="shared" si="2"/>
        <v>46033</v>
      </c>
      <c r="S232" s="5">
        <f t="shared" si="3"/>
        <v>149</v>
      </c>
      <c r="T232" s="5" t="str">
        <f t="shared" si="4"/>
        <v>Normal</v>
      </c>
    </row>
    <row r="233">
      <c r="A233" s="2" t="s">
        <v>350</v>
      </c>
      <c r="B233" s="2">
        <v>179.0</v>
      </c>
      <c r="C233" s="2">
        <v>23.0</v>
      </c>
      <c r="D233" s="4">
        <v>46039.28958333333</v>
      </c>
      <c r="E233" s="2">
        <v>49.0</v>
      </c>
      <c r="F233" s="2" t="s">
        <v>13</v>
      </c>
      <c r="G233" s="2" t="s">
        <v>23</v>
      </c>
      <c r="H233" s="2">
        <v>93.0</v>
      </c>
      <c r="I233" s="5" t="str">
        <f>IFERROR(VLOOKUP($C233, merchants!$A$2:$D$41, 2, FALSE), "Merchant not found")</f>
        <v>Merchant_023</v>
      </c>
      <c r="J233" s="5" t="str">
        <f>IFERROR(VLOOKUP($C233, merchants!$A$2:$D$41, 3, FALSE), "Merchant not found")</f>
        <v>travel</v>
      </c>
      <c r="K233" s="5" t="str">
        <f>IFERROR(VLOOKUP($C233, merchants!$A$2:$D$41, 4, FALSE), "Merchant not found")</f>
        <v>North</v>
      </c>
      <c r="Q233" s="5">
        <f t="shared" si="1"/>
        <v>0.5</v>
      </c>
      <c r="R233" s="6">
        <f t="shared" si="2"/>
        <v>46039</v>
      </c>
      <c r="S233" s="5">
        <f t="shared" si="3"/>
        <v>49</v>
      </c>
      <c r="T233" s="5" t="str">
        <f t="shared" si="4"/>
        <v>Normal</v>
      </c>
    </row>
    <row r="234">
      <c r="A234" s="2" t="s">
        <v>351</v>
      </c>
      <c r="B234" s="2">
        <v>76.0</v>
      </c>
      <c r="C234" s="2">
        <v>16.0</v>
      </c>
      <c r="D234" s="4">
        <v>46049.86944444444</v>
      </c>
      <c r="E234" s="2">
        <v>299.0</v>
      </c>
      <c r="F234" s="2" t="s">
        <v>12</v>
      </c>
      <c r="G234" s="2" t="s">
        <v>23</v>
      </c>
      <c r="H234" s="2">
        <v>13.0</v>
      </c>
      <c r="I234" s="5" t="str">
        <f>IFERROR(VLOOKUP($C234, merchants!$A$2:$D$41, 2, FALSE), "Merchant not found")</f>
        <v>Merchant_016</v>
      </c>
      <c r="J234" s="5" t="str">
        <f>IFERROR(VLOOKUP($C234, merchants!$A$2:$D$41, 3, FALSE), "Merchant not found")</f>
        <v>bill_payment</v>
      </c>
      <c r="K234" s="5" t="str">
        <f>IFERROR(VLOOKUP($C234, merchants!$A$2:$D$41, 4, FALSE), "Merchant not found")</f>
        <v>West</v>
      </c>
      <c r="Q234" s="5">
        <f t="shared" si="1"/>
        <v>0.3</v>
      </c>
      <c r="R234" s="6">
        <f t="shared" si="2"/>
        <v>46049</v>
      </c>
      <c r="S234" s="5">
        <f t="shared" si="3"/>
        <v>348</v>
      </c>
      <c r="T234" s="5" t="str">
        <f t="shared" si="4"/>
        <v>Normal</v>
      </c>
    </row>
    <row r="235">
      <c r="A235" s="2" t="s">
        <v>352</v>
      </c>
      <c r="B235" s="2">
        <v>89.0</v>
      </c>
      <c r="C235" s="2">
        <v>39.0</v>
      </c>
      <c r="D235" s="4">
        <v>46027.34166666667</v>
      </c>
      <c r="E235" s="2">
        <v>299.0</v>
      </c>
      <c r="F235" s="2" t="s">
        <v>12</v>
      </c>
      <c r="G235" s="2" t="s">
        <v>23</v>
      </c>
      <c r="H235" s="2">
        <v>19.0</v>
      </c>
      <c r="I235" s="5" t="str">
        <f>IFERROR(VLOOKUP($C235, merchants!$A$2:$D$41, 2, FALSE), "Merchant not found")</f>
        <v>Merchant_039</v>
      </c>
      <c r="J235" s="5" t="str">
        <f>IFERROR(VLOOKUP($C235, merchants!$A$2:$D$41, 3, FALSE), "Merchant not found")</f>
        <v>entertainment</v>
      </c>
      <c r="K235" s="5" t="str">
        <f>IFERROR(VLOOKUP($C235, merchants!$A$2:$D$41, 4, FALSE), "Merchant not found")</f>
        <v>North</v>
      </c>
      <c r="Q235" s="5">
        <f t="shared" si="1"/>
        <v>0.3</v>
      </c>
      <c r="R235" s="6">
        <f t="shared" si="2"/>
        <v>46027</v>
      </c>
      <c r="S235" s="5">
        <f t="shared" si="3"/>
        <v>299</v>
      </c>
      <c r="T235" s="5" t="str">
        <f t="shared" si="4"/>
        <v>Normal</v>
      </c>
    </row>
    <row r="236">
      <c r="A236" s="2" t="s">
        <v>353</v>
      </c>
      <c r="B236" s="2">
        <v>91.0</v>
      </c>
      <c r="C236" s="2">
        <v>32.0</v>
      </c>
      <c r="D236" s="4">
        <v>46047.83611111111</v>
      </c>
      <c r="E236" s="2">
        <v>49.0</v>
      </c>
      <c r="F236" s="2" t="s">
        <v>12</v>
      </c>
      <c r="G236" s="2" t="s">
        <v>23</v>
      </c>
      <c r="H236" s="2">
        <v>59.0</v>
      </c>
      <c r="I236" s="5" t="str">
        <f>IFERROR(VLOOKUP($C236, merchants!$A$2:$D$41, 2, FALSE), "Merchant not found")</f>
        <v>Merchant_032</v>
      </c>
      <c r="J236" s="5" t="str">
        <f>IFERROR(VLOOKUP($C236, merchants!$A$2:$D$41, 3, FALSE), "Merchant not found")</f>
        <v>food_delivery</v>
      </c>
      <c r="K236" s="5" t="str">
        <f>IFERROR(VLOOKUP($C236, merchants!$A$2:$D$41, 4, FALSE), "Merchant not found")</f>
        <v>West</v>
      </c>
      <c r="Q236" s="5">
        <f t="shared" si="1"/>
        <v>0.3</v>
      </c>
      <c r="R236" s="6">
        <f t="shared" si="2"/>
        <v>46047</v>
      </c>
      <c r="S236" s="5">
        <f t="shared" si="3"/>
        <v>49</v>
      </c>
      <c r="T236" s="5" t="str">
        <f t="shared" si="4"/>
        <v>Normal</v>
      </c>
    </row>
    <row r="237">
      <c r="A237" s="2" t="s">
        <v>354</v>
      </c>
      <c r="B237" s="2">
        <v>297.0</v>
      </c>
      <c r="C237" s="2">
        <v>29.0</v>
      </c>
      <c r="D237" s="4">
        <v>46047.78333333333</v>
      </c>
      <c r="E237" s="2">
        <v>99.0</v>
      </c>
      <c r="F237" s="2" t="s">
        <v>14</v>
      </c>
      <c r="G237" s="2" t="s">
        <v>69</v>
      </c>
      <c r="H237" s="2">
        <v>87.0</v>
      </c>
      <c r="I237" s="5" t="str">
        <f>IFERROR(VLOOKUP($C237, merchants!$A$2:$D$41, 2, FALSE), "Merchant not found")</f>
        <v>Merchant_029</v>
      </c>
      <c r="J237" s="5" t="str">
        <f>IFERROR(VLOOKUP($C237, merchants!$A$2:$D$41, 3, FALSE), "Merchant not found")</f>
        <v>ecommerce</v>
      </c>
      <c r="K237" s="5" t="str">
        <f>IFERROR(VLOOKUP($C237, merchants!$A$2:$D$41, 4, FALSE), "Merchant not found")</f>
        <v>North</v>
      </c>
      <c r="Q237" s="5">
        <f t="shared" si="1"/>
        <v>1.5</v>
      </c>
      <c r="R237" s="6">
        <f t="shared" si="2"/>
        <v>46047</v>
      </c>
      <c r="S237" s="5">
        <f t="shared" si="3"/>
        <v>3896</v>
      </c>
      <c r="T237" s="5" t="str">
        <f t="shared" si="4"/>
        <v>Normal</v>
      </c>
    </row>
    <row r="238">
      <c r="A238" s="2" t="s">
        <v>355</v>
      </c>
      <c r="B238" s="2">
        <v>326.0</v>
      </c>
      <c r="C238" s="2">
        <v>40.0</v>
      </c>
      <c r="D238" s="4">
        <v>46052.77847222222</v>
      </c>
      <c r="E238" s="2">
        <v>499.0</v>
      </c>
      <c r="F238" s="2" t="s">
        <v>14</v>
      </c>
      <c r="G238" s="2" t="s">
        <v>23</v>
      </c>
      <c r="H238" s="2">
        <v>41.0</v>
      </c>
      <c r="I238" s="5" t="str">
        <f>IFERROR(VLOOKUP($C238, merchants!$A$2:$D$41, 2, FALSE), "Merchant not found")</f>
        <v>Merchant_040</v>
      </c>
      <c r="J238" s="5" t="str">
        <f>IFERROR(VLOOKUP($C238, merchants!$A$2:$D$41, 3, FALSE), "Merchant not found")</f>
        <v>entertainment</v>
      </c>
      <c r="K238" s="5" t="str">
        <f>IFERROR(VLOOKUP($C238, merchants!$A$2:$D$41, 4, FALSE), "Merchant not found")</f>
        <v>South</v>
      </c>
      <c r="Q238" s="5">
        <f t="shared" si="1"/>
        <v>1.5</v>
      </c>
      <c r="R238" s="6">
        <f t="shared" si="2"/>
        <v>46052</v>
      </c>
      <c r="S238" s="5">
        <f t="shared" si="3"/>
        <v>499</v>
      </c>
      <c r="T238" s="5" t="str">
        <f t="shared" si="4"/>
        <v>Normal</v>
      </c>
    </row>
    <row r="239">
      <c r="A239" s="2" t="s">
        <v>356</v>
      </c>
      <c r="B239" s="2">
        <v>78.0</v>
      </c>
      <c r="C239" s="2">
        <v>29.0</v>
      </c>
      <c r="D239" s="4">
        <v>46050.84722222222</v>
      </c>
      <c r="E239" s="2">
        <v>149.0</v>
      </c>
      <c r="F239" s="2" t="s">
        <v>12</v>
      </c>
      <c r="G239" s="2" t="s">
        <v>23</v>
      </c>
      <c r="H239" s="2">
        <v>8.0</v>
      </c>
      <c r="I239" s="5" t="str">
        <f>IFERROR(VLOOKUP($C239, merchants!$A$2:$D$41, 2, FALSE), "Merchant not found")</f>
        <v>Merchant_029</v>
      </c>
      <c r="J239" s="5" t="str">
        <f>IFERROR(VLOOKUP($C239, merchants!$A$2:$D$41, 3, FALSE), "Merchant not found")</f>
        <v>ecommerce</v>
      </c>
      <c r="K239" s="5" t="str">
        <f>IFERROR(VLOOKUP($C239, merchants!$A$2:$D$41, 4, FALSE), "Merchant not found")</f>
        <v>North</v>
      </c>
      <c r="Q239" s="5">
        <f t="shared" si="1"/>
        <v>0.3</v>
      </c>
      <c r="R239" s="6">
        <f t="shared" si="2"/>
        <v>46050</v>
      </c>
      <c r="S239" s="5">
        <f t="shared" si="3"/>
        <v>149</v>
      </c>
      <c r="T239" s="5" t="str">
        <f t="shared" si="4"/>
        <v>Normal</v>
      </c>
    </row>
    <row r="240">
      <c r="A240" s="2" t="s">
        <v>357</v>
      </c>
      <c r="B240" s="2">
        <v>156.0</v>
      </c>
      <c r="C240" s="2">
        <v>18.0</v>
      </c>
      <c r="D240" s="4">
        <v>46038.61111111111</v>
      </c>
      <c r="E240" s="2">
        <v>2999.0</v>
      </c>
      <c r="F240" s="2" t="s">
        <v>14</v>
      </c>
      <c r="G240" s="2" t="s">
        <v>23</v>
      </c>
      <c r="H240" s="2">
        <v>75.0</v>
      </c>
      <c r="I240" s="5" t="str">
        <f>IFERROR(VLOOKUP($C240, merchants!$A$2:$D$41, 2, FALSE), "Merchant not found")</f>
        <v>Merchant_018</v>
      </c>
      <c r="J240" s="5" t="str">
        <f>IFERROR(VLOOKUP($C240, merchants!$A$2:$D$41, 3, FALSE), "Merchant not found")</f>
        <v>grocery</v>
      </c>
      <c r="K240" s="5" t="str">
        <f>IFERROR(VLOOKUP($C240, merchants!$A$2:$D$41, 4, FALSE), "Merchant not found")</f>
        <v>West</v>
      </c>
      <c r="Q240" s="5">
        <f t="shared" si="1"/>
        <v>1.5</v>
      </c>
      <c r="R240" s="6">
        <f t="shared" si="2"/>
        <v>46038</v>
      </c>
      <c r="S240" s="5">
        <f t="shared" si="3"/>
        <v>3148</v>
      </c>
      <c r="T240" s="5" t="str">
        <f t="shared" si="4"/>
        <v>Normal</v>
      </c>
    </row>
    <row r="241">
      <c r="A241" s="2" t="s">
        <v>358</v>
      </c>
      <c r="B241" s="2">
        <v>38.0</v>
      </c>
      <c r="C241" s="2">
        <v>20.0</v>
      </c>
      <c r="D241" s="4">
        <v>46024.48055555556</v>
      </c>
      <c r="E241" s="2">
        <v>49.0</v>
      </c>
      <c r="F241" s="2" t="s">
        <v>13</v>
      </c>
      <c r="G241" s="2" t="s">
        <v>61</v>
      </c>
      <c r="H241" s="2">
        <v>59.0</v>
      </c>
      <c r="I241" s="5" t="str">
        <f>IFERROR(VLOOKUP($C241, merchants!$A$2:$D$41, 2, FALSE), "Merchant not found")</f>
        <v>Merchant_020</v>
      </c>
      <c r="J241" s="5" t="str">
        <f>IFERROR(VLOOKUP($C241, merchants!$A$2:$D$41, 3, FALSE), "Merchant not found")</f>
        <v>food_delivery</v>
      </c>
      <c r="K241" s="5" t="str">
        <f>IFERROR(VLOOKUP($C241, merchants!$A$2:$D$41, 4, FALSE), "Merchant not found")</f>
        <v>East</v>
      </c>
      <c r="Q241" s="5">
        <f t="shared" si="1"/>
        <v>0.5</v>
      </c>
      <c r="R241" s="6">
        <f t="shared" si="2"/>
        <v>46024</v>
      </c>
      <c r="S241" s="5">
        <f t="shared" si="3"/>
        <v>49</v>
      </c>
      <c r="T241" s="5" t="str">
        <f t="shared" si="4"/>
        <v>Normal</v>
      </c>
    </row>
    <row r="242">
      <c r="A242" s="2" t="s">
        <v>359</v>
      </c>
      <c r="B242" s="2">
        <v>189.0</v>
      </c>
      <c r="C242" s="2">
        <v>19.0</v>
      </c>
      <c r="D242" s="4">
        <v>46037.04375</v>
      </c>
      <c r="E242" s="2">
        <v>99.0</v>
      </c>
      <c r="F242" s="2" t="s">
        <v>12</v>
      </c>
      <c r="G242" s="2" t="s">
        <v>61</v>
      </c>
      <c r="H242" s="2">
        <v>9.0</v>
      </c>
      <c r="I242" s="5" t="str">
        <f>IFERROR(VLOOKUP($C242, merchants!$A$2:$D$41, 2, FALSE), "Merchant not found")</f>
        <v>Merchant_019</v>
      </c>
      <c r="J242" s="5" t="str">
        <f>IFERROR(VLOOKUP($C242, merchants!$A$2:$D$41, 3, FALSE), "Merchant not found")</f>
        <v>grocery</v>
      </c>
      <c r="K242" s="5" t="str">
        <f>IFERROR(VLOOKUP($C242, merchants!$A$2:$D$41, 4, FALSE), "Merchant not found")</f>
        <v>North</v>
      </c>
      <c r="Q242" s="5">
        <f t="shared" si="1"/>
        <v>0.3</v>
      </c>
      <c r="R242" s="6">
        <f t="shared" si="2"/>
        <v>46037</v>
      </c>
      <c r="S242" s="5">
        <f t="shared" si="3"/>
        <v>398</v>
      </c>
      <c r="T242" s="5" t="str">
        <f t="shared" si="4"/>
        <v>Normal</v>
      </c>
    </row>
    <row r="243">
      <c r="A243" s="2" t="s">
        <v>360</v>
      </c>
      <c r="B243" s="2">
        <v>305.0</v>
      </c>
      <c r="C243" s="2">
        <v>33.0</v>
      </c>
      <c r="D243" s="4">
        <v>46043.11041666667</v>
      </c>
      <c r="E243" s="2">
        <v>299.0</v>
      </c>
      <c r="F243" s="2" t="s">
        <v>14</v>
      </c>
      <c r="G243" s="2" t="s">
        <v>23</v>
      </c>
      <c r="H243" s="2">
        <v>49.0</v>
      </c>
      <c r="I243" s="5" t="str">
        <f>IFERROR(VLOOKUP($C243, merchants!$A$2:$D$41, 2, FALSE), "Merchant not found")</f>
        <v>Merchant_033</v>
      </c>
      <c r="J243" s="5" t="str">
        <f>IFERROR(VLOOKUP($C243, merchants!$A$2:$D$41, 3, FALSE), "Merchant not found")</f>
        <v>bill_payment</v>
      </c>
      <c r="K243" s="5" t="str">
        <f>IFERROR(VLOOKUP($C243, merchants!$A$2:$D$41, 4, FALSE), "Merchant not found")</f>
        <v>East</v>
      </c>
      <c r="Q243" s="5">
        <f t="shared" si="1"/>
        <v>1.5</v>
      </c>
      <c r="R243" s="6">
        <f t="shared" si="2"/>
        <v>46043</v>
      </c>
      <c r="S243" s="5">
        <f t="shared" si="3"/>
        <v>3298</v>
      </c>
      <c r="T243" s="5" t="str">
        <f t="shared" si="4"/>
        <v>Normal</v>
      </c>
    </row>
    <row r="244">
      <c r="A244" s="2" t="s">
        <v>361</v>
      </c>
      <c r="B244" s="2">
        <v>22.0</v>
      </c>
      <c r="C244" s="2">
        <v>29.0</v>
      </c>
      <c r="D244" s="4">
        <v>46037.774305555555</v>
      </c>
      <c r="E244" s="2">
        <v>799.0</v>
      </c>
      <c r="F244" s="2" t="s">
        <v>12</v>
      </c>
      <c r="G244" s="2" t="s">
        <v>23</v>
      </c>
      <c r="H244" s="2">
        <v>73.0</v>
      </c>
      <c r="I244" s="5" t="str">
        <f>IFERROR(VLOOKUP($C244, merchants!$A$2:$D$41, 2, FALSE), "Merchant not found")</f>
        <v>Merchant_029</v>
      </c>
      <c r="J244" s="5" t="str">
        <f>IFERROR(VLOOKUP($C244, merchants!$A$2:$D$41, 3, FALSE), "Merchant not found")</f>
        <v>ecommerce</v>
      </c>
      <c r="K244" s="5" t="str">
        <f>IFERROR(VLOOKUP($C244, merchants!$A$2:$D$41, 4, FALSE), "Merchant not found")</f>
        <v>North</v>
      </c>
      <c r="Q244" s="5">
        <f t="shared" si="1"/>
        <v>0.3</v>
      </c>
      <c r="R244" s="6">
        <f t="shared" si="2"/>
        <v>46037</v>
      </c>
      <c r="S244" s="5">
        <f t="shared" si="3"/>
        <v>1098</v>
      </c>
      <c r="T244" s="5" t="str">
        <f t="shared" si="4"/>
        <v>Normal</v>
      </c>
    </row>
    <row r="245">
      <c r="A245" s="2" t="s">
        <v>362</v>
      </c>
      <c r="B245" s="2">
        <v>310.0</v>
      </c>
      <c r="C245" s="2">
        <v>31.0</v>
      </c>
      <c r="D245" s="4">
        <v>46043.26388888889</v>
      </c>
      <c r="E245" s="2">
        <v>49.0</v>
      </c>
      <c r="F245" s="2" t="s">
        <v>14</v>
      </c>
      <c r="G245" s="2" t="s">
        <v>23</v>
      </c>
      <c r="H245" s="2">
        <v>64.0</v>
      </c>
      <c r="I245" s="5" t="str">
        <f>IFERROR(VLOOKUP($C245, merchants!$A$2:$D$41, 2, FALSE), "Merchant not found")</f>
        <v>Merchant_031</v>
      </c>
      <c r="J245" s="5" t="str">
        <f>IFERROR(VLOOKUP($C245, merchants!$A$2:$D$41, 3, FALSE), "Merchant not found")</f>
        <v>bill_payment</v>
      </c>
      <c r="K245" s="5" t="str">
        <f>IFERROR(VLOOKUP($C245, merchants!$A$2:$D$41, 4, FALSE), "Merchant not found")</f>
        <v>East</v>
      </c>
      <c r="Q245" s="5">
        <f t="shared" si="1"/>
        <v>1.5</v>
      </c>
      <c r="R245" s="6">
        <f t="shared" si="2"/>
        <v>46043</v>
      </c>
      <c r="S245" s="5">
        <f t="shared" si="3"/>
        <v>49</v>
      </c>
      <c r="T245" s="5" t="str">
        <f t="shared" si="4"/>
        <v>Normal</v>
      </c>
    </row>
    <row r="246">
      <c r="A246" s="2" t="s">
        <v>363</v>
      </c>
      <c r="B246" s="2">
        <v>53.0</v>
      </c>
      <c r="C246" s="2">
        <v>22.0</v>
      </c>
      <c r="D246" s="4">
        <v>46027.061111111114</v>
      </c>
      <c r="E246" s="2">
        <v>299.0</v>
      </c>
      <c r="F246" s="2" t="s">
        <v>12</v>
      </c>
      <c r="G246" s="2" t="s">
        <v>23</v>
      </c>
      <c r="H246" s="2">
        <v>91.0</v>
      </c>
      <c r="I246" s="5" t="str">
        <f>IFERROR(VLOOKUP($C246, merchants!$A$2:$D$41, 2, FALSE), "Merchant not found")</f>
        <v>Merchant_022</v>
      </c>
      <c r="J246" s="5" t="str">
        <f>IFERROR(VLOOKUP($C246, merchants!$A$2:$D$41, 3, FALSE), "Merchant not found")</f>
        <v>travel</v>
      </c>
      <c r="K246" s="5" t="str">
        <f>IFERROR(VLOOKUP($C246, merchants!$A$2:$D$41, 4, FALSE), "Merchant not found")</f>
        <v>South</v>
      </c>
      <c r="Q246" s="5">
        <f t="shared" si="1"/>
        <v>0.3</v>
      </c>
      <c r="R246" s="6">
        <f t="shared" si="2"/>
        <v>46027</v>
      </c>
      <c r="S246" s="5">
        <f t="shared" si="3"/>
        <v>448</v>
      </c>
      <c r="T246" s="5" t="str">
        <f t="shared" si="4"/>
        <v>Normal</v>
      </c>
    </row>
    <row r="247">
      <c r="A247" s="2" t="s">
        <v>364</v>
      </c>
      <c r="B247" s="2">
        <v>89.0</v>
      </c>
      <c r="C247" s="2">
        <v>3.0</v>
      </c>
      <c r="D247" s="4">
        <v>46025.69513888889</v>
      </c>
      <c r="E247" s="2">
        <v>149.0</v>
      </c>
      <c r="F247" s="2" t="s">
        <v>14</v>
      </c>
      <c r="G247" s="2" t="s">
        <v>23</v>
      </c>
      <c r="H247" s="2">
        <v>31.0</v>
      </c>
      <c r="I247" s="5" t="str">
        <f>IFERROR(VLOOKUP($C247, merchants!$A$2:$D$41, 2, FALSE), "Merchant not found")</f>
        <v>Merchant_003</v>
      </c>
      <c r="J247" s="5" t="str">
        <f>IFERROR(VLOOKUP($C247, merchants!$A$2:$D$41, 3, FALSE), "Merchant not found")</f>
        <v>grocery</v>
      </c>
      <c r="K247" s="5" t="str">
        <f>IFERROR(VLOOKUP($C247, merchants!$A$2:$D$41, 4, FALSE), "Merchant not found")</f>
        <v>East</v>
      </c>
      <c r="Q247" s="5">
        <f t="shared" si="1"/>
        <v>1.5</v>
      </c>
      <c r="R247" s="6">
        <f t="shared" si="2"/>
        <v>46025</v>
      </c>
      <c r="S247" s="5">
        <f t="shared" si="3"/>
        <v>198</v>
      </c>
      <c r="T247" s="5" t="str">
        <f t="shared" si="4"/>
        <v>Normal</v>
      </c>
    </row>
    <row r="248">
      <c r="A248" s="2" t="s">
        <v>365</v>
      </c>
      <c r="B248" s="2">
        <v>269.0</v>
      </c>
      <c r="C248" s="2">
        <v>34.0</v>
      </c>
      <c r="D248" s="4">
        <v>46045.60277777778</v>
      </c>
      <c r="E248" s="2">
        <v>149.0</v>
      </c>
      <c r="F248" s="2" t="s">
        <v>12</v>
      </c>
      <c r="G248" s="2" t="s">
        <v>23</v>
      </c>
      <c r="H248" s="2">
        <v>78.0</v>
      </c>
      <c r="I248" s="5" t="str">
        <f>IFERROR(VLOOKUP($C248, merchants!$A$2:$D$41, 2, FALSE), "Merchant not found")</f>
        <v>Merchant_034</v>
      </c>
      <c r="J248" s="5" t="str">
        <f>IFERROR(VLOOKUP($C248, merchants!$A$2:$D$41, 3, FALSE), "Merchant not found")</f>
        <v>travel</v>
      </c>
      <c r="K248" s="5" t="str">
        <f>IFERROR(VLOOKUP($C248, merchants!$A$2:$D$41, 4, FALSE), "Merchant not found")</f>
        <v>South</v>
      </c>
      <c r="Q248" s="5">
        <f t="shared" si="1"/>
        <v>0.3</v>
      </c>
      <c r="R248" s="6">
        <f t="shared" si="2"/>
        <v>46045</v>
      </c>
      <c r="S248" s="5">
        <f t="shared" si="3"/>
        <v>3148</v>
      </c>
      <c r="T248" s="5" t="str">
        <f t="shared" si="4"/>
        <v>Normal</v>
      </c>
    </row>
    <row r="249">
      <c r="A249" s="2" t="s">
        <v>366</v>
      </c>
      <c r="B249" s="2">
        <v>145.0</v>
      </c>
      <c r="C249" s="2">
        <v>25.0</v>
      </c>
      <c r="D249" s="4">
        <v>46028.47430555556</v>
      </c>
      <c r="E249" s="2">
        <v>799.0</v>
      </c>
      <c r="F249" s="2" t="s">
        <v>12</v>
      </c>
      <c r="G249" s="2" t="s">
        <v>23</v>
      </c>
      <c r="H249" s="2">
        <v>52.0</v>
      </c>
      <c r="I249" s="5" t="str">
        <f>IFERROR(VLOOKUP($C249, merchants!$A$2:$D$41, 2, FALSE), "Merchant not found")</f>
        <v>Merchant_025</v>
      </c>
      <c r="J249" s="5" t="str">
        <f>IFERROR(VLOOKUP($C249, merchants!$A$2:$D$41, 3, FALSE), "Merchant not found")</f>
        <v>travel</v>
      </c>
      <c r="K249" s="5" t="str">
        <f>IFERROR(VLOOKUP($C249, merchants!$A$2:$D$41, 4, FALSE), "Merchant not found")</f>
        <v>South</v>
      </c>
      <c r="Q249" s="5">
        <f t="shared" si="1"/>
        <v>0.3</v>
      </c>
      <c r="R249" s="6">
        <f t="shared" si="2"/>
        <v>46028</v>
      </c>
      <c r="S249" s="5">
        <f t="shared" si="3"/>
        <v>898</v>
      </c>
      <c r="T249" s="5" t="str">
        <f t="shared" si="4"/>
        <v>Normal</v>
      </c>
    </row>
    <row r="250">
      <c r="A250" s="2" t="s">
        <v>367</v>
      </c>
      <c r="B250" s="2">
        <v>307.0</v>
      </c>
      <c r="C250" s="2">
        <v>4.0</v>
      </c>
      <c r="D250" s="4">
        <v>46047.44652777778</v>
      </c>
      <c r="E250" s="2">
        <v>1499.0</v>
      </c>
      <c r="F250" s="2" t="s">
        <v>12</v>
      </c>
      <c r="G250" s="2" t="s">
        <v>23</v>
      </c>
      <c r="H250" s="2">
        <v>80.0</v>
      </c>
      <c r="I250" s="5" t="str">
        <f>IFERROR(VLOOKUP($C250, merchants!$A$2:$D$41, 2, FALSE), "Merchant not found")</f>
        <v>Merchant_004</v>
      </c>
      <c r="J250" s="5" t="str">
        <f>IFERROR(VLOOKUP($C250, merchants!$A$2:$D$41, 3, FALSE), "Merchant not found")</f>
        <v>ecommerce</v>
      </c>
      <c r="K250" s="5" t="str">
        <f>IFERROR(VLOOKUP($C250, merchants!$A$2:$D$41, 4, FALSE), "Merchant not found")</f>
        <v>East</v>
      </c>
      <c r="Q250" s="5">
        <f t="shared" si="1"/>
        <v>0.3</v>
      </c>
      <c r="R250" s="6">
        <f t="shared" si="2"/>
        <v>46047</v>
      </c>
      <c r="S250" s="5">
        <f t="shared" si="3"/>
        <v>1998</v>
      </c>
      <c r="T250" s="5" t="str">
        <f t="shared" si="4"/>
        <v>Normal</v>
      </c>
    </row>
    <row r="251">
      <c r="A251" s="2" t="s">
        <v>368</v>
      </c>
      <c r="B251" s="2">
        <v>169.0</v>
      </c>
      <c r="C251" s="2">
        <v>7.0</v>
      </c>
      <c r="D251" s="4">
        <v>46043.419444444444</v>
      </c>
      <c r="E251" s="2">
        <v>1499.0</v>
      </c>
      <c r="F251" s="2" t="s">
        <v>13</v>
      </c>
      <c r="G251" s="2" t="s">
        <v>23</v>
      </c>
      <c r="H251" s="2">
        <v>71.0</v>
      </c>
      <c r="I251" s="5" t="str">
        <f>IFERROR(VLOOKUP($C251, merchants!$A$2:$D$41, 2, FALSE), "Merchant not found")</f>
        <v>Merchant_007</v>
      </c>
      <c r="J251" s="5" t="str">
        <f>IFERROR(VLOOKUP($C251, merchants!$A$2:$D$41, 3, FALSE), "Merchant not found")</f>
        <v>food_delivery</v>
      </c>
      <c r="K251" s="5" t="str">
        <f>IFERROR(VLOOKUP($C251, merchants!$A$2:$D$41, 4, FALSE), "Merchant not found")</f>
        <v>East</v>
      </c>
      <c r="Q251" s="5">
        <f t="shared" si="1"/>
        <v>0.5</v>
      </c>
      <c r="R251" s="6">
        <f t="shared" si="2"/>
        <v>46043</v>
      </c>
      <c r="S251" s="5">
        <f t="shared" si="3"/>
        <v>1499</v>
      </c>
      <c r="T251" s="5" t="str">
        <f t="shared" si="4"/>
        <v>Normal</v>
      </c>
    </row>
    <row r="252">
      <c r="A252" s="2" t="s">
        <v>369</v>
      </c>
      <c r="B252" s="2">
        <v>130.0</v>
      </c>
      <c r="C252" s="2">
        <v>39.0</v>
      </c>
      <c r="D252" s="4">
        <v>46044.5125</v>
      </c>
      <c r="E252" s="2">
        <v>2999.0</v>
      </c>
      <c r="F252" s="2" t="s">
        <v>13</v>
      </c>
      <c r="G252" s="2" t="s">
        <v>23</v>
      </c>
      <c r="H252" s="2">
        <v>19.0</v>
      </c>
      <c r="I252" s="5" t="str">
        <f>IFERROR(VLOOKUP($C252, merchants!$A$2:$D$41, 2, FALSE), "Merchant not found")</f>
        <v>Merchant_039</v>
      </c>
      <c r="J252" s="5" t="str">
        <f>IFERROR(VLOOKUP($C252, merchants!$A$2:$D$41, 3, FALSE), "Merchant not found")</f>
        <v>entertainment</v>
      </c>
      <c r="K252" s="5" t="str">
        <f>IFERROR(VLOOKUP($C252, merchants!$A$2:$D$41, 4, FALSE), "Merchant not found")</f>
        <v>North</v>
      </c>
      <c r="Q252" s="5">
        <f t="shared" si="1"/>
        <v>0.5</v>
      </c>
      <c r="R252" s="6">
        <f t="shared" si="2"/>
        <v>46044</v>
      </c>
      <c r="S252" s="5">
        <f t="shared" si="3"/>
        <v>9796</v>
      </c>
      <c r="T252" s="5" t="str">
        <f t="shared" si="4"/>
        <v>High-Value Merchant Day</v>
      </c>
    </row>
    <row r="253">
      <c r="A253" s="2" t="s">
        <v>370</v>
      </c>
      <c r="B253" s="2">
        <v>340.0</v>
      </c>
      <c r="C253" s="2">
        <v>10.0</v>
      </c>
      <c r="D253" s="4">
        <v>46033.10902777778</v>
      </c>
      <c r="E253" s="2">
        <v>49.0</v>
      </c>
      <c r="F253" s="2" t="s">
        <v>14</v>
      </c>
      <c r="G253" s="2" t="s">
        <v>23</v>
      </c>
      <c r="H253" s="2">
        <v>44.0</v>
      </c>
      <c r="I253" s="5" t="str">
        <f>IFERROR(VLOOKUP($C253, merchants!$A$2:$D$41, 2, FALSE), "Merchant not found")</f>
        <v>Merchant_010</v>
      </c>
      <c r="J253" s="5" t="str">
        <f>IFERROR(VLOOKUP($C253, merchants!$A$2:$D$41, 3, FALSE), "Merchant not found")</f>
        <v>grocery</v>
      </c>
      <c r="K253" s="5" t="str">
        <f>IFERROR(VLOOKUP($C253, merchants!$A$2:$D$41, 4, FALSE), "Merchant not found")</f>
        <v>West</v>
      </c>
      <c r="Q253" s="5">
        <f t="shared" si="1"/>
        <v>1.5</v>
      </c>
      <c r="R253" s="6">
        <f t="shared" si="2"/>
        <v>46033</v>
      </c>
      <c r="S253" s="5">
        <f t="shared" si="3"/>
        <v>98</v>
      </c>
      <c r="T253" s="5" t="str">
        <f t="shared" si="4"/>
        <v>Normal</v>
      </c>
    </row>
    <row r="254">
      <c r="A254" s="2" t="s">
        <v>371</v>
      </c>
      <c r="B254" s="2">
        <v>340.0</v>
      </c>
      <c r="C254" s="2">
        <v>26.0</v>
      </c>
      <c r="D254" s="4">
        <v>46032.86388888889</v>
      </c>
      <c r="E254" s="2">
        <v>299.0</v>
      </c>
      <c r="F254" s="2" t="s">
        <v>14</v>
      </c>
      <c r="G254" s="2" t="s">
        <v>23</v>
      </c>
      <c r="H254" s="2">
        <v>16.0</v>
      </c>
      <c r="I254" s="5" t="str">
        <f>IFERROR(VLOOKUP($C254, merchants!$A$2:$D$41, 2, FALSE), "Merchant not found")</f>
        <v>Merchant_026</v>
      </c>
      <c r="J254" s="5" t="str">
        <f>IFERROR(VLOOKUP($C254, merchants!$A$2:$D$41, 3, FALSE), "Merchant not found")</f>
        <v>food_delivery</v>
      </c>
      <c r="K254" s="5" t="str">
        <f>IFERROR(VLOOKUP($C254, merchants!$A$2:$D$41, 4, FALSE), "Merchant not found")</f>
        <v>East</v>
      </c>
      <c r="Q254" s="5">
        <f t="shared" si="1"/>
        <v>1.5</v>
      </c>
      <c r="R254" s="6">
        <f t="shared" si="2"/>
        <v>46032</v>
      </c>
      <c r="S254" s="5">
        <f t="shared" si="3"/>
        <v>299</v>
      </c>
      <c r="T254" s="5" t="str">
        <f t="shared" si="4"/>
        <v>Normal</v>
      </c>
    </row>
    <row r="255">
      <c r="A255" s="2" t="s">
        <v>372</v>
      </c>
      <c r="B255" s="2">
        <v>159.0</v>
      </c>
      <c r="C255" s="2">
        <v>36.0</v>
      </c>
      <c r="D255" s="4">
        <v>46042.92013888889</v>
      </c>
      <c r="E255" s="2">
        <v>49.0</v>
      </c>
      <c r="F255" s="2" t="s">
        <v>12</v>
      </c>
      <c r="G255" s="2" t="s">
        <v>23</v>
      </c>
      <c r="H255" s="2">
        <v>48.0</v>
      </c>
      <c r="I255" s="5" t="str">
        <f>IFERROR(VLOOKUP($C255, merchants!$A$2:$D$41, 2, FALSE), "Merchant not found")</f>
        <v>Merchant_036</v>
      </c>
      <c r="J255" s="5" t="str">
        <f>IFERROR(VLOOKUP($C255, merchants!$A$2:$D$41, 3, FALSE), "Merchant not found")</f>
        <v>entertainment</v>
      </c>
      <c r="K255" s="5" t="str">
        <f>IFERROR(VLOOKUP($C255, merchants!$A$2:$D$41, 4, FALSE), "Merchant not found")</f>
        <v>East</v>
      </c>
      <c r="Q255" s="5">
        <f t="shared" si="1"/>
        <v>0.3</v>
      </c>
      <c r="R255" s="6">
        <f t="shared" si="2"/>
        <v>46042</v>
      </c>
      <c r="S255" s="5">
        <f t="shared" si="3"/>
        <v>49</v>
      </c>
      <c r="T255" s="5" t="str">
        <f t="shared" si="4"/>
        <v>Normal</v>
      </c>
    </row>
    <row r="256">
      <c r="A256" s="2" t="s">
        <v>373</v>
      </c>
      <c r="B256" s="2">
        <v>66.0</v>
      </c>
      <c r="C256" s="2">
        <v>34.0</v>
      </c>
      <c r="D256" s="4">
        <v>46043.45277777778</v>
      </c>
      <c r="E256" s="2">
        <v>799.0</v>
      </c>
      <c r="F256" s="2" t="s">
        <v>12</v>
      </c>
      <c r="G256" s="2" t="s">
        <v>23</v>
      </c>
      <c r="H256" s="2">
        <v>11.0</v>
      </c>
      <c r="I256" s="5" t="str">
        <f>IFERROR(VLOOKUP($C256, merchants!$A$2:$D$41, 2, FALSE), "Merchant not found")</f>
        <v>Merchant_034</v>
      </c>
      <c r="J256" s="5" t="str">
        <f>IFERROR(VLOOKUP($C256, merchants!$A$2:$D$41, 3, FALSE), "Merchant not found")</f>
        <v>travel</v>
      </c>
      <c r="K256" s="5" t="str">
        <f>IFERROR(VLOOKUP($C256, merchants!$A$2:$D$41, 4, FALSE), "Merchant not found")</f>
        <v>South</v>
      </c>
      <c r="Q256" s="5">
        <f t="shared" si="1"/>
        <v>0.3</v>
      </c>
      <c r="R256" s="6">
        <f t="shared" si="2"/>
        <v>46043</v>
      </c>
      <c r="S256" s="5">
        <f t="shared" si="3"/>
        <v>799</v>
      </c>
      <c r="T256" s="5" t="str">
        <f t="shared" si="4"/>
        <v>Normal</v>
      </c>
    </row>
    <row r="257">
      <c r="A257" s="2" t="s">
        <v>374</v>
      </c>
      <c r="B257" s="2">
        <v>261.0</v>
      </c>
      <c r="C257" s="2">
        <v>24.0</v>
      </c>
      <c r="D257" s="4">
        <v>46043.89375</v>
      </c>
      <c r="E257" s="2">
        <v>799.0</v>
      </c>
      <c r="F257" s="2" t="s">
        <v>14</v>
      </c>
      <c r="G257" s="2" t="s">
        <v>23</v>
      </c>
      <c r="H257" s="2">
        <v>2.0</v>
      </c>
      <c r="I257" s="5" t="str">
        <f>IFERROR(VLOOKUP($C257, merchants!$A$2:$D$41, 2, FALSE), "Merchant not found")</f>
        <v>Merchant_024</v>
      </c>
      <c r="J257" s="5" t="str">
        <f>IFERROR(VLOOKUP($C257, merchants!$A$2:$D$41, 3, FALSE), "Merchant not found")</f>
        <v>grocery</v>
      </c>
      <c r="K257" s="5" t="str">
        <f>IFERROR(VLOOKUP($C257, merchants!$A$2:$D$41, 4, FALSE), "Merchant not found")</f>
        <v>North</v>
      </c>
      <c r="Q257" s="5">
        <f t="shared" si="1"/>
        <v>1.5</v>
      </c>
      <c r="R257" s="6">
        <f t="shared" si="2"/>
        <v>46043</v>
      </c>
      <c r="S257" s="5">
        <f t="shared" si="3"/>
        <v>799</v>
      </c>
      <c r="T257" s="5" t="str">
        <f t="shared" si="4"/>
        <v>Normal</v>
      </c>
    </row>
    <row r="258">
      <c r="A258" s="2" t="s">
        <v>375</v>
      </c>
      <c r="B258" s="2">
        <v>110.0</v>
      </c>
      <c r="C258" s="2">
        <v>22.0</v>
      </c>
      <c r="D258" s="4">
        <v>46034.38263888889</v>
      </c>
      <c r="E258" s="2">
        <v>799.0</v>
      </c>
      <c r="F258" s="2" t="s">
        <v>12</v>
      </c>
      <c r="G258" s="2" t="s">
        <v>23</v>
      </c>
      <c r="H258" s="2">
        <v>98.0</v>
      </c>
      <c r="I258" s="5" t="str">
        <f>IFERROR(VLOOKUP($C258, merchants!$A$2:$D$41, 2, FALSE), "Merchant not found")</f>
        <v>Merchant_022</v>
      </c>
      <c r="J258" s="5" t="str">
        <f>IFERROR(VLOOKUP($C258, merchants!$A$2:$D$41, 3, FALSE), "Merchant not found")</f>
        <v>travel</v>
      </c>
      <c r="K258" s="5" t="str">
        <f>IFERROR(VLOOKUP($C258, merchants!$A$2:$D$41, 4, FALSE), "Merchant not found")</f>
        <v>South</v>
      </c>
      <c r="Q258" s="5">
        <f t="shared" si="1"/>
        <v>0.3</v>
      </c>
      <c r="R258" s="6">
        <f t="shared" si="2"/>
        <v>46034</v>
      </c>
      <c r="S258" s="5">
        <f t="shared" si="3"/>
        <v>1697</v>
      </c>
      <c r="T258" s="5" t="str">
        <f t="shared" si="4"/>
        <v>Normal</v>
      </c>
    </row>
    <row r="259">
      <c r="A259" s="2" t="s">
        <v>376</v>
      </c>
      <c r="B259" s="2">
        <v>71.0</v>
      </c>
      <c r="C259" s="2">
        <v>10.0</v>
      </c>
      <c r="D259" s="4">
        <v>46038.259722222225</v>
      </c>
      <c r="E259" s="2">
        <v>49.0</v>
      </c>
      <c r="F259" s="2" t="s">
        <v>12</v>
      </c>
      <c r="G259" s="2" t="s">
        <v>23</v>
      </c>
      <c r="H259" s="2">
        <v>9.0</v>
      </c>
      <c r="I259" s="5" t="str">
        <f>IFERROR(VLOOKUP($C259, merchants!$A$2:$D$41, 2, FALSE), "Merchant not found")</f>
        <v>Merchant_010</v>
      </c>
      <c r="J259" s="5" t="str">
        <f>IFERROR(VLOOKUP($C259, merchants!$A$2:$D$41, 3, FALSE), "Merchant not found")</f>
        <v>grocery</v>
      </c>
      <c r="K259" s="5" t="str">
        <f>IFERROR(VLOOKUP($C259, merchants!$A$2:$D$41, 4, FALSE), "Merchant not found")</f>
        <v>West</v>
      </c>
      <c r="Q259" s="5">
        <f t="shared" si="1"/>
        <v>0.3</v>
      </c>
      <c r="R259" s="6">
        <f t="shared" si="2"/>
        <v>46038</v>
      </c>
      <c r="S259" s="5">
        <f t="shared" si="3"/>
        <v>49</v>
      </c>
      <c r="T259" s="5" t="str">
        <f t="shared" si="4"/>
        <v>Normal</v>
      </c>
    </row>
    <row r="260">
      <c r="A260" s="2" t="s">
        <v>377</v>
      </c>
      <c r="B260" s="2">
        <v>277.0</v>
      </c>
      <c r="C260" s="2">
        <v>34.0</v>
      </c>
      <c r="D260" s="4">
        <v>46032.14722222222</v>
      </c>
      <c r="E260" s="2">
        <v>49.0</v>
      </c>
      <c r="F260" s="2" t="s">
        <v>12</v>
      </c>
      <c r="G260" s="2" t="s">
        <v>23</v>
      </c>
      <c r="H260" s="2">
        <v>4.0</v>
      </c>
      <c r="I260" s="5" t="str">
        <f>IFERROR(VLOOKUP($C260, merchants!$A$2:$D$41, 2, FALSE), "Merchant not found")</f>
        <v>Merchant_034</v>
      </c>
      <c r="J260" s="5" t="str">
        <f>IFERROR(VLOOKUP($C260, merchants!$A$2:$D$41, 3, FALSE), "Merchant not found")</f>
        <v>travel</v>
      </c>
      <c r="K260" s="5" t="str">
        <f>IFERROR(VLOOKUP($C260, merchants!$A$2:$D$41, 4, FALSE), "Merchant not found")</f>
        <v>South</v>
      </c>
      <c r="Q260" s="5">
        <f t="shared" si="1"/>
        <v>0.3</v>
      </c>
      <c r="R260" s="6">
        <f t="shared" si="2"/>
        <v>46032</v>
      </c>
      <c r="S260" s="5">
        <f t="shared" si="3"/>
        <v>49</v>
      </c>
      <c r="T260" s="5" t="str">
        <f t="shared" si="4"/>
        <v>Normal</v>
      </c>
    </row>
    <row r="261">
      <c r="A261" s="2" t="s">
        <v>378</v>
      </c>
      <c r="B261" s="2">
        <v>317.0</v>
      </c>
      <c r="C261" s="2">
        <v>9.0</v>
      </c>
      <c r="D261" s="4">
        <v>46044.455555555556</v>
      </c>
      <c r="E261" s="2">
        <v>499.0</v>
      </c>
      <c r="F261" s="2" t="s">
        <v>13</v>
      </c>
      <c r="G261" s="2" t="s">
        <v>23</v>
      </c>
      <c r="H261" s="2">
        <v>76.0</v>
      </c>
      <c r="I261" s="5" t="str">
        <f>IFERROR(VLOOKUP($C261, merchants!$A$2:$D$41, 2, FALSE), "Merchant not found")</f>
        <v>Merchant_009</v>
      </c>
      <c r="J261" s="5" t="str">
        <f>IFERROR(VLOOKUP($C261, merchants!$A$2:$D$41, 3, FALSE), "Merchant not found")</f>
        <v>ecommerce</v>
      </c>
      <c r="K261" s="5" t="str">
        <f>IFERROR(VLOOKUP($C261, merchants!$A$2:$D$41, 4, FALSE), "Merchant not found")</f>
        <v>North</v>
      </c>
      <c r="Q261" s="5">
        <f t="shared" si="1"/>
        <v>0.5</v>
      </c>
      <c r="R261" s="6">
        <f t="shared" si="2"/>
        <v>46044</v>
      </c>
      <c r="S261" s="5">
        <f t="shared" si="3"/>
        <v>1298</v>
      </c>
      <c r="T261" s="5" t="str">
        <f t="shared" si="4"/>
        <v>Normal</v>
      </c>
    </row>
    <row r="262">
      <c r="A262" s="2" t="s">
        <v>379</v>
      </c>
      <c r="B262" s="2">
        <v>93.0</v>
      </c>
      <c r="C262" s="2">
        <v>40.0</v>
      </c>
      <c r="D262" s="4">
        <v>46035.17361111111</v>
      </c>
      <c r="E262" s="2">
        <v>299.0</v>
      </c>
      <c r="F262" s="2" t="s">
        <v>12</v>
      </c>
      <c r="G262" s="2" t="s">
        <v>23</v>
      </c>
      <c r="H262" s="2">
        <v>21.0</v>
      </c>
      <c r="I262" s="5" t="str">
        <f>IFERROR(VLOOKUP($C262, merchants!$A$2:$D$41, 2, FALSE), "Merchant not found")</f>
        <v>Merchant_040</v>
      </c>
      <c r="J262" s="5" t="str">
        <f>IFERROR(VLOOKUP($C262, merchants!$A$2:$D$41, 3, FALSE), "Merchant not found")</f>
        <v>entertainment</v>
      </c>
      <c r="K262" s="5" t="str">
        <f>IFERROR(VLOOKUP($C262, merchants!$A$2:$D$41, 4, FALSE), "Merchant not found")</f>
        <v>South</v>
      </c>
      <c r="Q262" s="5">
        <f t="shared" si="1"/>
        <v>0.3</v>
      </c>
      <c r="R262" s="6">
        <f t="shared" si="2"/>
        <v>46035</v>
      </c>
      <c r="S262" s="5">
        <f t="shared" si="3"/>
        <v>299</v>
      </c>
      <c r="T262" s="5" t="str">
        <f t="shared" si="4"/>
        <v>Normal</v>
      </c>
    </row>
    <row r="263">
      <c r="A263" s="2" t="s">
        <v>380</v>
      </c>
      <c r="B263" s="2">
        <v>211.0</v>
      </c>
      <c r="C263" s="2">
        <v>24.0</v>
      </c>
      <c r="D263" s="4">
        <v>46046.58472222222</v>
      </c>
      <c r="E263" s="2">
        <v>99.0</v>
      </c>
      <c r="F263" s="2" t="s">
        <v>15</v>
      </c>
      <c r="G263" s="2" t="s">
        <v>23</v>
      </c>
      <c r="H263" s="2">
        <v>86.0</v>
      </c>
      <c r="I263" s="5" t="str">
        <f>IFERROR(VLOOKUP($C263, merchants!$A$2:$D$41, 2, FALSE), "Merchant not found")</f>
        <v>Merchant_024</v>
      </c>
      <c r="J263" s="5" t="str">
        <f>IFERROR(VLOOKUP($C263, merchants!$A$2:$D$41, 3, FALSE), "Merchant not found")</f>
        <v>grocery</v>
      </c>
      <c r="K263" s="5" t="str">
        <f>IFERROR(VLOOKUP($C263, merchants!$A$2:$D$41, 4, FALSE), "Merchant not found")</f>
        <v>North</v>
      </c>
      <c r="Q263" s="5">
        <f t="shared" si="1"/>
        <v>0.9</v>
      </c>
      <c r="R263" s="6">
        <f t="shared" si="2"/>
        <v>46046</v>
      </c>
      <c r="S263" s="5">
        <f t="shared" si="3"/>
        <v>148</v>
      </c>
      <c r="T263" s="5" t="str">
        <f t="shared" si="4"/>
        <v>Normal</v>
      </c>
    </row>
    <row r="264">
      <c r="A264" s="2" t="s">
        <v>381</v>
      </c>
      <c r="B264" s="2">
        <v>313.0</v>
      </c>
      <c r="C264" s="2">
        <v>19.0</v>
      </c>
      <c r="D264" s="4">
        <v>46046.311111111114</v>
      </c>
      <c r="E264" s="2">
        <v>149.0</v>
      </c>
      <c r="F264" s="2" t="s">
        <v>12</v>
      </c>
      <c r="G264" s="2" t="s">
        <v>23</v>
      </c>
      <c r="H264" s="2">
        <v>96.0</v>
      </c>
      <c r="I264" s="5" t="str">
        <f>IFERROR(VLOOKUP($C264, merchants!$A$2:$D$41, 2, FALSE), "Merchant not found")</f>
        <v>Merchant_019</v>
      </c>
      <c r="J264" s="5" t="str">
        <f>IFERROR(VLOOKUP($C264, merchants!$A$2:$D$41, 3, FALSE), "Merchant not found")</f>
        <v>grocery</v>
      </c>
      <c r="K264" s="5" t="str">
        <f>IFERROR(VLOOKUP($C264, merchants!$A$2:$D$41, 4, FALSE), "Merchant not found")</f>
        <v>North</v>
      </c>
      <c r="Q264" s="5">
        <f t="shared" si="1"/>
        <v>0.3</v>
      </c>
      <c r="R264" s="6">
        <f t="shared" si="2"/>
        <v>46046</v>
      </c>
      <c r="S264" s="5">
        <f t="shared" si="3"/>
        <v>149</v>
      </c>
      <c r="T264" s="5" t="str">
        <f t="shared" si="4"/>
        <v>Normal</v>
      </c>
    </row>
    <row r="265">
      <c r="A265" s="2" t="s">
        <v>382</v>
      </c>
      <c r="B265" s="2">
        <v>274.0</v>
      </c>
      <c r="C265" s="2">
        <v>16.0</v>
      </c>
      <c r="D265" s="4">
        <v>46046.59305555555</v>
      </c>
      <c r="E265" s="2">
        <v>49.0</v>
      </c>
      <c r="F265" s="2" t="s">
        <v>13</v>
      </c>
      <c r="G265" s="2" t="s">
        <v>61</v>
      </c>
      <c r="H265" s="2">
        <v>39.0</v>
      </c>
      <c r="I265" s="5" t="str">
        <f>IFERROR(VLOOKUP($C265, merchants!$A$2:$D$41, 2, FALSE), "Merchant not found")</f>
        <v>Merchant_016</v>
      </c>
      <c r="J265" s="5" t="str">
        <f>IFERROR(VLOOKUP($C265, merchants!$A$2:$D$41, 3, FALSE), "Merchant not found")</f>
        <v>bill_payment</v>
      </c>
      <c r="K265" s="5" t="str">
        <f>IFERROR(VLOOKUP($C265, merchants!$A$2:$D$41, 4, FALSE), "Merchant not found")</f>
        <v>West</v>
      </c>
      <c r="Q265" s="5">
        <f t="shared" si="1"/>
        <v>0.5</v>
      </c>
      <c r="R265" s="6">
        <f t="shared" si="2"/>
        <v>46046</v>
      </c>
      <c r="S265" s="5">
        <f t="shared" si="3"/>
        <v>1548</v>
      </c>
      <c r="T265" s="5" t="str">
        <f t="shared" si="4"/>
        <v>Normal</v>
      </c>
    </row>
    <row r="266">
      <c r="A266" s="2" t="s">
        <v>383</v>
      </c>
      <c r="B266" s="2">
        <v>100.0</v>
      </c>
      <c r="C266" s="2">
        <v>24.0</v>
      </c>
      <c r="D266" s="4">
        <v>46048.66458333333</v>
      </c>
      <c r="E266" s="2">
        <v>299.0</v>
      </c>
      <c r="F266" s="2" t="s">
        <v>12</v>
      </c>
      <c r="G266" s="2" t="s">
        <v>23</v>
      </c>
      <c r="H266" s="2">
        <v>86.0</v>
      </c>
      <c r="I266" s="5" t="str">
        <f>IFERROR(VLOOKUP($C266, merchants!$A$2:$D$41, 2, FALSE), "Merchant not found")</f>
        <v>Merchant_024</v>
      </c>
      <c r="J266" s="5" t="str">
        <f>IFERROR(VLOOKUP($C266, merchants!$A$2:$D$41, 3, FALSE), "Merchant not found")</f>
        <v>grocery</v>
      </c>
      <c r="K266" s="5" t="str">
        <f>IFERROR(VLOOKUP($C266, merchants!$A$2:$D$41, 4, FALSE), "Merchant not found")</f>
        <v>North</v>
      </c>
      <c r="Q266" s="5">
        <f t="shared" si="1"/>
        <v>0.3</v>
      </c>
      <c r="R266" s="6">
        <f t="shared" si="2"/>
        <v>46048</v>
      </c>
      <c r="S266" s="5">
        <f t="shared" si="3"/>
        <v>348</v>
      </c>
      <c r="T266" s="5" t="str">
        <f t="shared" si="4"/>
        <v>Normal</v>
      </c>
    </row>
    <row r="267">
      <c r="A267" s="2" t="s">
        <v>384</v>
      </c>
      <c r="B267" s="2">
        <v>145.0</v>
      </c>
      <c r="C267" s="2">
        <v>25.0</v>
      </c>
      <c r="D267" s="4">
        <v>46041.603472222225</v>
      </c>
      <c r="E267" s="2">
        <v>2999.0</v>
      </c>
      <c r="F267" s="2" t="s">
        <v>13</v>
      </c>
      <c r="G267" s="2" t="s">
        <v>23</v>
      </c>
      <c r="H267" s="2">
        <v>64.0</v>
      </c>
      <c r="I267" s="5" t="str">
        <f>IFERROR(VLOOKUP($C267, merchants!$A$2:$D$41, 2, FALSE), "Merchant not found")</f>
        <v>Merchant_025</v>
      </c>
      <c r="J267" s="5" t="str">
        <f>IFERROR(VLOOKUP($C267, merchants!$A$2:$D$41, 3, FALSE), "Merchant not found")</f>
        <v>travel</v>
      </c>
      <c r="K267" s="5" t="str">
        <f>IFERROR(VLOOKUP($C267, merchants!$A$2:$D$41, 4, FALSE), "Merchant not found")</f>
        <v>South</v>
      </c>
      <c r="Q267" s="5">
        <f t="shared" si="1"/>
        <v>0.5</v>
      </c>
      <c r="R267" s="6">
        <f t="shared" si="2"/>
        <v>46041</v>
      </c>
      <c r="S267" s="5">
        <f t="shared" si="3"/>
        <v>4498</v>
      </c>
      <c r="T267" s="5" t="str">
        <f t="shared" si="4"/>
        <v>Normal</v>
      </c>
    </row>
    <row r="268">
      <c r="A268" s="2" t="s">
        <v>385</v>
      </c>
      <c r="B268" s="2">
        <v>103.0</v>
      </c>
      <c r="C268" s="2">
        <v>39.0</v>
      </c>
      <c r="D268" s="4">
        <v>46039.54861111111</v>
      </c>
      <c r="E268" s="2">
        <v>2999.0</v>
      </c>
      <c r="F268" s="2" t="s">
        <v>13</v>
      </c>
      <c r="G268" s="2" t="s">
        <v>23</v>
      </c>
      <c r="H268" s="2">
        <v>17.0</v>
      </c>
      <c r="I268" s="5" t="str">
        <f>IFERROR(VLOOKUP($C268, merchants!$A$2:$D$41, 2, FALSE), "Merchant not found")</f>
        <v>Merchant_039</v>
      </c>
      <c r="J268" s="5" t="str">
        <f>IFERROR(VLOOKUP($C268, merchants!$A$2:$D$41, 3, FALSE), "Merchant not found")</f>
        <v>entertainment</v>
      </c>
      <c r="K268" s="5" t="str">
        <f>IFERROR(VLOOKUP($C268, merchants!$A$2:$D$41, 4, FALSE), "Merchant not found")</f>
        <v>North</v>
      </c>
      <c r="Q268" s="5">
        <f t="shared" si="1"/>
        <v>0.5</v>
      </c>
      <c r="R268" s="6">
        <f t="shared" si="2"/>
        <v>46039</v>
      </c>
      <c r="S268" s="5">
        <f t="shared" si="3"/>
        <v>2999</v>
      </c>
      <c r="T268" s="5" t="str">
        <f t="shared" si="4"/>
        <v>Normal</v>
      </c>
    </row>
    <row r="269">
      <c r="A269" s="2" t="s">
        <v>386</v>
      </c>
      <c r="B269" s="2">
        <v>329.0</v>
      </c>
      <c r="C269" s="2">
        <v>31.0</v>
      </c>
      <c r="D269" s="4">
        <v>46050.33541666667</v>
      </c>
      <c r="E269" s="2">
        <v>299.0</v>
      </c>
      <c r="F269" s="2" t="s">
        <v>13</v>
      </c>
      <c r="G269" s="2" t="s">
        <v>23</v>
      </c>
      <c r="H269" s="2">
        <v>47.0</v>
      </c>
      <c r="I269" s="5" t="str">
        <f>IFERROR(VLOOKUP($C269, merchants!$A$2:$D$41, 2, FALSE), "Merchant not found")</f>
        <v>Merchant_031</v>
      </c>
      <c r="J269" s="5" t="str">
        <f>IFERROR(VLOOKUP($C269, merchants!$A$2:$D$41, 3, FALSE), "Merchant not found")</f>
        <v>bill_payment</v>
      </c>
      <c r="K269" s="5" t="str">
        <f>IFERROR(VLOOKUP($C269, merchants!$A$2:$D$41, 4, FALSE), "Merchant not found")</f>
        <v>East</v>
      </c>
      <c r="Q269" s="5">
        <f t="shared" si="1"/>
        <v>0.5</v>
      </c>
      <c r="R269" s="6">
        <f t="shared" si="2"/>
        <v>46050</v>
      </c>
      <c r="S269" s="5">
        <f t="shared" si="3"/>
        <v>299</v>
      </c>
      <c r="T269" s="5" t="str">
        <f t="shared" si="4"/>
        <v>Normal</v>
      </c>
    </row>
    <row r="270">
      <c r="A270" s="2" t="s">
        <v>387</v>
      </c>
      <c r="B270" s="2">
        <v>265.0</v>
      </c>
      <c r="C270" s="2">
        <v>8.0</v>
      </c>
      <c r="D270" s="4">
        <v>46040.15625</v>
      </c>
      <c r="E270" s="2">
        <v>499.0</v>
      </c>
      <c r="F270" s="2" t="s">
        <v>15</v>
      </c>
      <c r="G270" s="2" t="s">
        <v>23</v>
      </c>
      <c r="H270" s="2">
        <v>36.0</v>
      </c>
      <c r="I270" s="5" t="str">
        <f>IFERROR(VLOOKUP($C270, merchants!$A$2:$D$41, 2, FALSE), "Merchant not found")</f>
        <v>Merchant_008</v>
      </c>
      <c r="J270" s="5" t="str">
        <f>IFERROR(VLOOKUP($C270, merchants!$A$2:$D$41, 3, FALSE), "Merchant not found")</f>
        <v>food_delivery</v>
      </c>
      <c r="K270" s="5" t="str">
        <f>IFERROR(VLOOKUP($C270, merchants!$A$2:$D$41, 4, FALSE), "Merchant not found")</f>
        <v>North</v>
      </c>
      <c r="Q270" s="5">
        <f t="shared" si="1"/>
        <v>0.9</v>
      </c>
      <c r="R270" s="6">
        <f t="shared" si="2"/>
        <v>46040</v>
      </c>
      <c r="S270" s="5">
        <f t="shared" si="3"/>
        <v>499</v>
      </c>
      <c r="T270" s="5" t="str">
        <f t="shared" si="4"/>
        <v>Normal</v>
      </c>
    </row>
    <row r="271">
      <c r="A271" s="2" t="s">
        <v>388</v>
      </c>
      <c r="B271" s="2">
        <v>231.0</v>
      </c>
      <c r="C271" s="2">
        <v>33.0</v>
      </c>
      <c r="D271" s="4">
        <v>46025.220138888886</v>
      </c>
      <c r="E271" s="2">
        <v>149.0</v>
      </c>
      <c r="F271" s="2" t="s">
        <v>12</v>
      </c>
      <c r="G271" s="2" t="s">
        <v>61</v>
      </c>
      <c r="H271" s="2">
        <v>18.0</v>
      </c>
      <c r="I271" s="5" t="str">
        <f>IFERROR(VLOOKUP($C271, merchants!$A$2:$D$41, 2, FALSE), "Merchant not found")</f>
        <v>Merchant_033</v>
      </c>
      <c r="J271" s="5" t="str">
        <f>IFERROR(VLOOKUP($C271, merchants!$A$2:$D$41, 3, FALSE), "Merchant not found")</f>
        <v>bill_payment</v>
      </c>
      <c r="K271" s="5" t="str">
        <f>IFERROR(VLOOKUP($C271, merchants!$A$2:$D$41, 4, FALSE), "Merchant not found")</f>
        <v>East</v>
      </c>
      <c r="Q271" s="5">
        <f t="shared" si="1"/>
        <v>0.3</v>
      </c>
      <c r="R271" s="6">
        <f t="shared" si="2"/>
        <v>46025</v>
      </c>
      <c r="S271" s="5">
        <f t="shared" si="3"/>
        <v>149</v>
      </c>
      <c r="T271" s="5" t="str">
        <f t="shared" si="4"/>
        <v>Normal</v>
      </c>
    </row>
    <row r="272">
      <c r="A272" s="2" t="s">
        <v>389</v>
      </c>
      <c r="B272" s="2">
        <v>114.0</v>
      </c>
      <c r="C272" s="2">
        <v>29.0</v>
      </c>
      <c r="D272" s="4">
        <v>46049.54513888889</v>
      </c>
      <c r="E272" s="2">
        <v>799.0</v>
      </c>
      <c r="F272" s="2" t="s">
        <v>12</v>
      </c>
      <c r="G272" s="2" t="s">
        <v>69</v>
      </c>
      <c r="H272" s="2">
        <v>44.0</v>
      </c>
      <c r="I272" s="5" t="str">
        <f>IFERROR(VLOOKUP($C272, merchants!$A$2:$D$41, 2, FALSE), "Merchant not found")</f>
        <v>Merchant_029</v>
      </c>
      <c r="J272" s="5" t="str">
        <f>IFERROR(VLOOKUP($C272, merchants!$A$2:$D$41, 3, FALSE), "Merchant not found")</f>
        <v>ecommerce</v>
      </c>
      <c r="K272" s="5" t="str">
        <f>IFERROR(VLOOKUP($C272, merchants!$A$2:$D$41, 4, FALSE), "Merchant not found")</f>
        <v>North</v>
      </c>
      <c r="Q272" s="5">
        <f t="shared" si="1"/>
        <v>0.3</v>
      </c>
      <c r="R272" s="6">
        <f t="shared" si="2"/>
        <v>46049</v>
      </c>
      <c r="S272" s="5">
        <f t="shared" si="3"/>
        <v>898</v>
      </c>
      <c r="T272" s="5" t="str">
        <f t="shared" si="4"/>
        <v>Normal</v>
      </c>
    </row>
    <row r="273">
      <c r="A273" s="2" t="s">
        <v>390</v>
      </c>
      <c r="B273" s="2">
        <v>28.0</v>
      </c>
      <c r="C273" s="2">
        <v>26.0</v>
      </c>
      <c r="D273" s="4">
        <v>46052.018055555556</v>
      </c>
      <c r="E273" s="2">
        <v>1499.0</v>
      </c>
      <c r="F273" s="2" t="s">
        <v>12</v>
      </c>
      <c r="G273" s="2" t="s">
        <v>61</v>
      </c>
      <c r="H273" s="2">
        <v>64.0</v>
      </c>
      <c r="I273" s="5" t="str">
        <f>IFERROR(VLOOKUP($C273, merchants!$A$2:$D$41, 2, FALSE), "Merchant not found")</f>
        <v>Merchant_026</v>
      </c>
      <c r="J273" s="5" t="str">
        <f>IFERROR(VLOOKUP($C273, merchants!$A$2:$D$41, 3, FALSE), "Merchant not found")</f>
        <v>food_delivery</v>
      </c>
      <c r="K273" s="5" t="str">
        <f>IFERROR(VLOOKUP($C273, merchants!$A$2:$D$41, 4, FALSE), "Merchant not found")</f>
        <v>East</v>
      </c>
      <c r="Q273" s="5">
        <f t="shared" si="1"/>
        <v>0.3</v>
      </c>
      <c r="R273" s="6">
        <f t="shared" si="2"/>
        <v>46052</v>
      </c>
      <c r="S273" s="5">
        <f t="shared" si="3"/>
        <v>1499</v>
      </c>
      <c r="T273" s="5" t="str">
        <f t="shared" si="4"/>
        <v>Normal</v>
      </c>
    </row>
    <row r="274">
      <c r="A274" s="2" t="s">
        <v>391</v>
      </c>
      <c r="B274" s="2">
        <v>42.0</v>
      </c>
      <c r="C274" s="2">
        <v>24.0</v>
      </c>
      <c r="D274" s="4">
        <v>46034.308333333334</v>
      </c>
      <c r="E274" s="2">
        <v>149.0</v>
      </c>
      <c r="F274" s="2" t="s">
        <v>12</v>
      </c>
      <c r="G274" s="2" t="s">
        <v>23</v>
      </c>
      <c r="H274" s="2">
        <v>28.0</v>
      </c>
      <c r="I274" s="5" t="str">
        <f>IFERROR(VLOOKUP($C274, merchants!$A$2:$D$41, 2, FALSE), "Merchant not found")</f>
        <v>Merchant_024</v>
      </c>
      <c r="J274" s="5" t="str">
        <f>IFERROR(VLOOKUP($C274, merchants!$A$2:$D$41, 3, FALSE), "Merchant not found")</f>
        <v>grocery</v>
      </c>
      <c r="K274" s="5" t="str">
        <f>IFERROR(VLOOKUP($C274, merchants!$A$2:$D$41, 4, FALSE), "Merchant not found")</f>
        <v>North</v>
      </c>
      <c r="Q274" s="5">
        <f t="shared" si="1"/>
        <v>0.3</v>
      </c>
      <c r="R274" s="6">
        <f t="shared" si="2"/>
        <v>46034</v>
      </c>
      <c r="S274" s="5">
        <f t="shared" si="3"/>
        <v>149</v>
      </c>
      <c r="T274" s="5" t="str">
        <f t="shared" si="4"/>
        <v>Normal</v>
      </c>
    </row>
    <row r="275">
      <c r="A275" s="2" t="s">
        <v>392</v>
      </c>
      <c r="B275" s="2">
        <v>51.0</v>
      </c>
      <c r="C275" s="2">
        <v>22.0</v>
      </c>
      <c r="D275" s="4">
        <v>46023.45763888889</v>
      </c>
      <c r="E275" s="2">
        <v>799.0</v>
      </c>
      <c r="F275" s="2" t="s">
        <v>12</v>
      </c>
      <c r="G275" s="2" t="s">
        <v>23</v>
      </c>
      <c r="H275" s="2">
        <v>18.0</v>
      </c>
      <c r="I275" s="5" t="str">
        <f>IFERROR(VLOOKUP($C275, merchants!$A$2:$D$41, 2, FALSE), "Merchant not found")</f>
        <v>Merchant_022</v>
      </c>
      <c r="J275" s="5" t="str">
        <f>IFERROR(VLOOKUP($C275, merchants!$A$2:$D$41, 3, FALSE), "Merchant not found")</f>
        <v>travel</v>
      </c>
      <c r="K275" s="5" t="str">
        <f>IFERROR(VLOOKUP($C275, merchants!$A$2:$D$41, 4, FALSE), "Merchant not found")</f>
        <v>South</v>
      </c>
      <c r="Q275" s="5">
        <f t="shared" si="1"/>
        <v>0.3</v>
      </c>
      <c r="R275" s="6">
        <f t="shared" si="2"/>
        <v>46023</v>
      </c>
      <c r="S275" s="5">
        <f t="shared" si="3"/>
        <v>799</v>
      </c>
      <c r="T275" s="5" t="str">
        <f t="shared" si="4"/>
        <v>Normal</v>
      </c>
    </row>
    <row r="276">
      <c r="A276" s="2" t="s">
        <v>393</v>
      </c>
      <c r="B276" s="2">
        <v>242.0</v>
      </c>
      <c r="C276" s="2">
        <v>9.0</v>
      </c>
      <c r="D276" s="4">
        <v>46027.05416666667</v>
      </c>
      <c r="E276" s="2">
        <v>149.0</v>
      </c>
      <c r="F276" s="2" t="s">
        <v>12</v>
      </c>
      <c r="G276" s="2" t="s">
        <v>23</v>
      </c>
      <c r="H276" s="2">
        <v>97.0</v>
      </c>
      <c r="I276" s="5" t="str">
        <f>IFERROR(VLOOKUP($C276, merchants!$A$2:$D$41, 2, FALSE), "Merchant not found")</f>
        <v>Merchant_009</v>
      </c>
      <c r="J276" s="5" t="str">
        <f>IFERROR(VLOOKUP($C276, merchants!$A$2:$D$41, 3, FALSE), "Merchant not found")</f>
        <v>ecommerce</v>
      </c>
      <c r="K276" s="5" t="str">
        <f>IFERROR(VLOOKUP($C276, merchants!$A$2:$D$41, 4, FALSE), "Merchant not found")</f>
        <v>North</v>
      </c>
      <c r="Q276" s="5">
        <f t="shared" si="1"/>
        <v>0.3</v>
      </c>
      <c r="R276" s="6">
        <f t="shared" si="2"/>
        <v>46027</v>
      </c>
      <c r="S276" s="5">
        <f t="shared" si="3"/>
        <v>149</v>
      </c>
      <c r="T276" s="5" t="str">
        <f t="shared" si="4"/>
        <v>Normal</v>
      </c>
    </row>
    <row r="277">
      <c r="A277" s="2" t="s">
        <v>394</v>
      </c>
      <c r="B277" s="2">
        <v>316.0</v>
      </c>
      <c r="C277" s="2">
        <v>1.0</v>
      </c>
      <c r="D277" s="4">
        <v>46045.64444444444</v>
      </c>
      <c r="E277" s="2">
        <v>149.0</v>
      </c>
      <c r="F277" s="2" t="s">
        <v>12</v>
      </c>
      <c r="G277" s="2" t="s">
        <v>23</v>
      </c>
      <c r="H277" s="2">
        <v>10.0</v>
      </c>
      <c r="I277" s="5" t="str">
        <f>IFERROR(VLOOKUP($C277, merchants!$A$2:$D$41, 2, FALSE), "Merchant not found")</f>
        <v>Merchant_001</v>
      </c>
      <c r="J277" s="5" t="str">
        <f>IFERROR(VLOOKUP($C277, merchants!$A$2:$D$41, 3, FALSE), "Merchant not found")</f>
        <v>ecommerce</v>
      </c>
      <c r="K277" s="5" t="str">
        <f>IFERROR(VLOOKUP($C277, merchants!$A$2:$D$41, 4, FALSE), "Merchant not found")</f>
        <v>South</v>
      </c>
      <c r="Q277" s="5">
        <f t="shared" si="1"/>
        <v>0.3</v>
      </c>
      <c r="R277" s="6">
        <f t="shared" si="2"/>
        <v>46045</v>
      </c>
      <c r="S277" s="5">
        <f t="shared" si="3"/>
        <v>3148</v>
      </c>
      <c r="T277" s="5" t="str">
        <f t="shared" si="4"/>
        <v>Normal</v>
      </c>
    </row>
    <row r="278">
      <c r="A278" s="2" t="s">
        <v>395</v>
      </c>
      <c r="B278" s="2">
        <v>77.0</v>
      </c>
      <c r="C278" s="2">
        <v>36.0</v>
      </c>
      <c r="D278" s="4">
        <v>46023.342361111114</v>
      </c>
      <c r="E278" s="2">
        <v>149.0</v>
      </c>
      <c r="F278" s="2" t="s">
        <v>12</v>
      </c>
      <c r="G278" s="2" t="s">
        <v>23</v>
      </c>
      <c r="H278" s="2">
        <v>93.0</v>
      </c>
      <c r="I278" s="5" t="str">
        <f>IFERROR(VLOOKUP($C278, merchants!$A$2:$D$41, 2, FALSE), "Merchant not found")</f>
        <v>Merchant_036</v>
      </c>
      <c r="J278" s="5" t="str">
        <f>IFERROR(VLOOKUP($C278, merchants!$A$2:$D$41, 3, FALSE), "Merchant not found")</f>
        <v>entertainment</v>
      </c>
      <c r="K278" s="5" t="str">
        <f>IFERROR(VLOOKUP($C278, merchants!$A$2:$D$41, 4, FALSE), "Merchant not found")</f>
        <v>East</v>
      </c>
      <c r="Q278" s="5">
        <f t="shared" si="1"/>
        <v>0.3</v>
      </c>
      <c r="R278" s="6">
        <f t="shared" si="2"/>
        <v>46023</v>
      </c>
      <c r="S278" s="5">
        <f t="shared" si="3"/>
        <v>149</v>
      </c>
      <c r="T278" s="5" t="str">
        <f t="shared" si="4"/>
        <v>Normal</v>
      </c>
    </row>
    <row r="279">
      <c r="A279" s="2" t="s">
        <v>396</v>
      </c>
      <c r="B279" s="2">
        <v>57.0</v>
      </c>
      <c r="C279" s="2">
        <v>19.0</v>
      </c>
      <c r="D279" s="4">
        <v>46042.68541666667</v>
      </c>
      <c r="E279" s="2">
        <v>49.0</v>
      </c>
      <c r="F279" s="2" t="s">
        <v>12</v>
      </c>
      <c r="G279" s="2" t="s">
        <v>23</v>
      </c>
      <c r="H279" s="2">
        <v>30.0</v>
      </c>
      <c r="I279" s="5" t="str">
        <f>IFERROR(VLOOKUP($C279, merchants!$A$2:$D$41, 2, FALSE), "Merchant not found")</f>
        <v>Merchant_019</v>
      </c>
      <c r="J279" s="5" t="str">
        <f>IFERROR(VLOOKUP($C279, merchants!$A$2:$D$41, 3, FALSE), "Merchant not found")</f>
        <v>grocery</v>
      </c>
      <c r="K279" s="5" t="str">
        <f>IFERROR(VLOOKUP($C279, merchants!$A$2:$D$41, 4, FALSE), "Merchant not found")</f>
        <v>North</v>
      </c>
      <c r="Q279" s="5">
        <f t="shared" si="1"/>
        <v>0.3</v>
      </c>
      <c r="R279" s="6">
        <f t="shared" si="2"/>
        <v>46042</v>
      </c>
      <c r="S279" s="5">
        <f t="shared" si="3"/>
        <v>348</v>
      </c>
      <c r="T279" s="5" t="str">
        <f t="shared" si="4"/>
        <v>Normal</v>
      </c>
    </row>
    <row r="280">
      <c r="A280" s="2" t="s">
        <v>397</v>
      </c>
      <c r="B280" s="2">
        <v>123.0</v>
      </c>
      <c r="C280" s="2">
        <v>27.0</v>
      </c>
      <c r="D280" s="4">
        <v>46032.12708333333</v>
      </c>
      <c r="E280" s="2">
        <v>149.0</v>
      </c>
      <c r="F280" s="2" t="s">
        <v>15</v>
      </c>
      <c r="G280" s="2" t="s">
        <v>23</v>
      </c>
      <c r="H280" s="2">
        <v>81.0</v>
      </c>
      <c r="I280" s="5" t="str">
        <f>IFERROR(VLOOKUP($C280, merchants!$A$2:$D$41, 2, FALSE), "Merchant not found")</f>
        <v>Merchant_027</v>
      </c>
      <c r="J280" s="5" t="str">
        <f>IFERROR(VLOOKUP($C280, merchants!$A$2:$D$41, 3, FALSE), "Merchant not found")</f>
        <v>ecommerce</v>
      </c>
      <c r="K280" s="5" t="str">
        <f>IFERROR(VLOOKUP($C280, merchants!$A$2:$D$41, 4, FALSE), "Merchant not found")</f>
        <v>North</v>
      </c>
      <c r="Q280" s="5">
        <f t="shared" si="1"/>
        <v>0.9</v>
      </c>
      <c r="R280" s="6">
        <f t="shared" si="2"/>
        <v>46032</v>
      </c>
      <c r="S280" s="5">
        <f t="shared" si="3"/>
        <v>149</v>
      </c>
      <c r="T280" s="5" t="str">
        <f t="shared" si="4"/>
        <v>Normal</v>
      </c>
    </row>
    <row r="281">
      <c r="A281" s="2" t="s">
        <v>398</v>
      </c>
      <c r="B281" s="2">
        <v>33.0</v>
      </c>
      <c r="C281" s="2">
        <v>8.0</v>
      </c>
      <c r="D281" s="4">
        <v>46048.81180555555</v>
      </c>
      <c r="E281" s="2">
        <v>299.0</v>
      </c>
      <c r="F281" s="2" t="s">
        <v>13</v>
      </c>
      <c r="G281" s="2" t="s">
        <v>23</v>
      </c>
      <c r="H281" s="2">
        <v>63.0</v>
      </c>
      <c r="I281" s="5" t="str">
        <f>IFERROR(VLOOKUP($C281, merchants!$A$2:$D$41, 2, FALSE), "Merchant not found")</f>
        <v>Merchant_008</v>
      </c>
      <c r="J281" s="5" t="str">
        <f>IFERROR(VLOOKUP($C281, merchants!$A$2:$D$41, 3, FALSE), "Merchant not found")</f>
        <v>food_delivery</v>
      </c>
      <c r="K281" s="5" t="str">
        <f>IFERROR(VLOOKUP($C281, merchants!$A$2:$D$41, 4, FALSE), "Merchant not found")</f>
        <v>North</v>
      </c>
      <c r="Q281" s="5">
        <f t="shared" si="1"/>
        <v>0.5</v>
      </c>
      <c r="R281" s="6">
        <f t="shared" si="2"/>
        <v>46048</v>
      </c>
      <c r="S281" s="5">
        <f t="shared" si="3"/>
        <v>598</v>
      </c>
      <c r="T281" s="5" t="str">
        <f t="shared" si="4"/>
        <v>Normal</v>
      </c>
    </row>
    <row r="282">
      <c r="A282" s="2" t="s">
        <v>399</v>
      </c>
      <c r="B282" s="2">
        <v>324.0</v>
      </c>
      <c r="C282" s="2">
        <v>33.0</v>
      </c>
      <c r="D282" s="4">
        <v>46042.709027777775</v>
      </c>
      <c r="E282" s="2">
        <v>499.0</v>
      </c>
      <c r="F282" s="2" t="s">
        <v>12</v>
      </c>
      <c r="G282" s="2" t="s">
        <v>23</v>
      </c>
      <c r="H282" s="2">
        <v>73.0</v>
      </c>
      <c r="I282" s="5" t="str">
        <f>IFERROR(VLOOKUP($C282, merchants!$A$2:$D$41, 2, FALSE), "Merchant not found")</f>
        <v>Merchant_033</v>
      </c>
      <c r="J282" s="5" t="str">
        <f>IFERROR(VLOOKUP($C282, merchants!$A$2:$D$41, 3, FALSE), "Merchant not found")</f>
        <v>bill_payment</v>
      </c>
      <c r="K282" s="5" t="str">
        <f>IFERROR(VLOOKUP($C282, merchants!$A$2:$D$41, 4, FALSE), "Merchant not found")</f>
        <v>East</v>
      </c>
      <c r="Q282" s="5">
        <f t="shared" si="1"/>
        <v>0.3</v>
      </c>
      <c r="R282" s="6">
        <f t="shared" si="2"/>
        <v>46042</v>
      </c>
      <c r="S282" s="5">
        <f t="shared" si="3"/>
        <v>499</v>
      </c>
      <c r="T282" s="5" t="str">
        <f t="shared" si="4"/>
        <v>Normal</v>
      </c>
    </row>
    <row r="283">
      <c r="A283" s="2" t="s">
        <v>400</v>
      </c>
      <c r="B283" s="2">
        <v>150.0</v>
      </c>
      <c r="C283" s="2">
        <v>28.0</v>
      </c>
      <c r="D283" s="4">
        <v>46030.92291666667</v>
      </c>
      <c r="E283" s="2">
        <v>49.0</v>
      </c>
      <c r="F283" s="2" t="s">
        <v>12</v>
      </c>
      <c r="G283" s="2" t="s">
        <v>61</v>
      </c>
      <c r="H283" s="2">
        <v>0.0</v>
      </c>
      <c r="I283" s="5" t="str">
        <f>IFERROR(VLOOKUP($C283, merchants!$A$2:$D$41, 2, FALSE), "Merchant not found")</f>
        <v>Merchant_028</v>
      </c>
      <c r="J283" s="5" t="str">
        <f>IFERROR(VLOOKUP($C283, merchants!$A$2:$D$41, 3, FALSE), "Merchant not found")</f>
        <v>ecommerce</v>
      </c>
      <c r="K283" s="5" t="str">
        <f>IFERROR(VLOOKUP($C283, merchants!$A$2:$D$41, 4, FALSE), "Merchant not found")</f>
        <v>South</v>
      </c>
      <c r="Q283" s="5">
        <f t="shared" si="1"/>
        <v>0.3</v>
      </c>
      <c r="R283" s="6">
        <f t="shared" si="2"/>
        <v>46030</v>
      </c>
      <c r="S283" s="5">
        <f t="shared" si="3"/>
        <v>49</v>
      </c>
      <c r="T283" s="5" t="str">
        <f t="shared" si="4"/>
        <v>Normal</v>
      </c>
    </row>
    <row r="284">
      <c r="A284" s="2" t="s">
        <v>401</v>
      </c>
      <c r="B284" s="2">
        <v>293.0</v>
      </c>
      <c r="C284" s="2">
        <v>27.0</v>
      </c>
      <c r="D284" s="4">
        <v>46042.46875</v>
      </c>
      <c r="E284" s="2">
        <v>4999.0</v>
      </c>
      <c r="F284" s="2" t="s">
        <v>12</v>
      </c>
      <c r="G284" s="2" t="s">
        <v>23</v>
      </c>
      <c r="H284" s="2">
        <v>23.0</v>
      </c>
      <c r="I284" s="5" t="str">
        <f>IFERROR(VLOOKUP($C284, merchants!$A$2:$D$41, 2, FALSE), "Merchant not found")</f>
        <v>Merchant_027</v>
      </c>
      <c r="J284" s="5" t="str">
        <f>IFERROR(VLOOKUP($C284, merchants!$A$2:$D$41, 3, FALSE), "Merchant not found")</f>
        <v>ecommerce</v>
      </c>
      <c r="K284" s="5" t="str">
        <f>IFERROR(VLOOKUP($C284, merchants!$A$2:$D$41, 4, FALSE), "Merchant not found")</f>
        <v>North</v>
      </c>
      <c r="Q284" s="5">
        <f t="shared" si="1"/>
        <v>0.3</v>
      </c>
      <c r="R284" s="6">
        <f t="shared" si="2"/>
        <v>46042</v>
      </c>
      <c r="S284" s="5">
        <f t="shared" si="3"/>
        <v>4999</v>
      </c>
      <c r="T284" s="5" t="str">
        <f t="shared" si="4"/>
        <v>Normal</v>
      </c>
    </row>
    <row r="285">
      <c r="A285" s="2" t="s">
        <v>402</v>
      </c>
      <c r="B285" s="2">
        <v>269.0</v>
      </c>
      <c r="C285" s="2">
        <v>24.0</v>
      </c>
      <c r="D285" s="4">
        <v>46044.87847222222</v>
      </c>
      <c r="E285" s="2">
        <v>49.0</v>
      </c>
      <c r="F285" s="2" t="s">
        <v>13</v>
      </c>
      <c r="G285" s="2" t="s">
        <v>23</v>
      </c>
      <c r="H285" s="2">
        <v>8.0</v>
      </c>
      <c r="I285" s="5" t="str">
        <f>IFERROR(VLOOKUP($C285, merchants!$A$2:$D$41, 2, FALSE), "Merchant not found")</f>
        <v>Merchant_024</v>
      </c>
      <c r="J285" s="5" t="str">
        <f>IFERROR(VLOOKUP($C285, merchants!$A$2:$D$41, 3, FALSE), "Merchant not found")</f>
        <v>grocery</v>
      </c>
      <c r="K285" s="5" t="str">
        <f>IFERROR(VLOOKUP($C285, merchants!$A$2:$D$41, 4, FALSE), "Merchant not found")</f>
        <v>North</v>
      </c>
      <c r="Q285" s="5">
        <f t="shared" si="1"/>
        <v>0.5</v>
      </c>
      <c r="R285" s="6">
        <f t="shared" si="2"/>
        <v>46044</v>
      </c>
      <c r="S285" s="5">
        <f t="shared" si="3"/>
        <v>49</v>
      </c>
      <c r="T285" s="5" t="str">
        <f t="shared" si="4"/>
        <v>Normal</v>
      </c>
    </row>
    <row r="286">
      <c r="A286" s="2" t="s">
        <v>403</v>
      </c>
      <c r="B286" s="2">
        <v>260.0</v>
      </c>
      <c r="C286" s="2">
        <v>36.0</v>
      </c>
      <c r="D286" s="4">
        <v>46039.73055555556</v>
      </c>
      <c r="E286" s="2">
        <v>1499.0</v>
      </c>
      <c r="F286" s="2" t="s">
        <v>12</v>
      </c>
      <c r="G286" s="2" t="s">
        <v>23</v>
      </c>
      <c r="H286" s="2">
        <v>2.0</v>
      </c>
      <c r="I286" s="5" t="str">
        <f>IFERROR(VLOOKUP($C286, merchants!$A$2:$D$41, 2, FALSE), "Merchant not found")</f>
        <v>Merchant_036</v>
      </c>
      <c r="J286" s="5" t="str">
        <f>IFERROR(VLOOKUP($C286, merchants!$A$2:$D$41, 3, FALSE), "Merchant not found")</f>
        <v>entertainment</v>
      </c>
      <c r="K286" s="5" t="str">
        <f>IFERROR(VLOOKUP($C286, merchants!$A$2:$D$41, 4, FALSE), "Merchant not found")</f>
        <v>East</v>
      </c>
      <c r="Q286" s="5">
        <f t="shared" si="1"/>
        <v>0.3</v>
      </c>
      <c r="R286" s="6">
        <f t="shared" si="2"/>
        <v>46039</v>
      </c>
      <c r="S286" s="5">
        <f t="shared" si="3"/>
        <v>1499</v>
      </c>
      <c r="T286" s="5" t="str">
        <f t="shared" si="4"/>
        <v>Normal</v>
      </c>
    </row>
    <row r="287">
      <c r="A287" s="2" t="s">
        <v>404</v>
      </c>
      <c r="B287" s="2">
        <v>326.0</v>
      </c>
      <c r="C287" s="2">
        <v>25.0</v>
      </c>
      <c r="D287" s="4">
        <v>46035.626388888886</v>
      </c>
      <c r="E287" s="2">
        <v>49.0</v>
      </c>
      <c r="F287" s="2" t="s">
        <v>12</v>
      </c>
      <c r="G287" s="2" t="s">
        <v>23</v>
      </c>
      <c r="H287" s="2">
        <v>47.0</v>
      </c>
      <c r="I287" s="5" t="str">
        <f>IFERROR(VLOOKUP($C287, merchants!$A$2:$D$41, 2, FALSE), "Merchant not found")</f>
        <v>Merchant_025</v>
      </c>
      <c r="J287" s="5" t="str">
        <f>IFERROR(VLOOKUP($C287, merchants!$A$2:$D$41, 3, FALSE), "Merchant not found")</f>
        <v>travel</v>
      </c>
      <c r="K287" s="5" t="str">
        <f>IFERROR(VLOOKUP($C287, merchants!$A$2:$D$41, 4, FALSE), "Merchant not found")</f>
        <v>South</v>
      </c>
      <c r="Q287" s="5">
        <f t="shared" si="1"/>
        <v>0.3</v>
      </c>
      <c r="R287" s="6">
        <f t="shared" si="2"/>
        <v>46035</v>
      </c>
      <c r="S287" s="5">
        <f t="shared" si="3"/>
        <v>49</v>
      </c>
      <c r="T287" s="5" t="str">
        <f t="shared" si="4"/>
        <v>Normal</v>
      </c>
    </row>
    <row r="288">
      <c r="A288" s="2" t="s">
        <v>405</v>
      </c>
      <c r="B288" s="2">
        <v>183.0</v>
      </c>
      <c r="C288" s="2">
        <v>5.0</v>
      </c>
      <c r="D288" s="4">
        <v>46031.959027777775</v>
      </c>
      <c r="E288" s="2">
        <v>49.0</v>
      </c>
      <c r="F288" s="2" t="s">
        <v>14</v>
      </c>
      <c r="G288" s="2" t="s">
        <v>23</v>
      </c>
      <c r="H288" s="2">
        <v>44.0</v>
      </c>
      <c r="I288" s="5" t="str">
        <f>IFERROR(VLOOKUP($C288, merchants!$A$2:$D$41, 2, FALSE), "Merchant not found")</f>
        <v>Merchant_005</v>
      </c>
      <c r="J288" s="5" t="str">
        <f>IFERROR(VLOOKUP($C288, merchants!$A$2:$D$41, 3, FALSE), "Merchant not found")</f>
        <v>recharge</v>
      </c>
      <c r="K288" s="5" t="str">
        <f>IFERROR(VLOOKUP($C288, merchants!$A$2:$D$41, 4, FALSE), "Merchant not found")</f>
        <v>South</v>
      </c>
      <c r="Q288" s="5">
        <f t="shared" si="1"/>
        <v>1.5</v>
      </c>
      <c r="R288" s="6">
        <f t="shared" si="2"/>
        <v>46031</v>
      </c>
      <c r="S288" s="5">
        <f t="shared" si="3"/>
        <v>348</v>
      </c>
      <c r="T288" s="5" t="str">
        <f t="shared" si="4"/>
        <v>Normal</v>
      </c>
    </row>
    <row r="289">
      <c r="A289" s="2" t="s">
        <v>406</v>
      </c>
      <c r="B289" s="2">
        <v>322.0</v>
      </c>
      <c r="C289" s="2">
        <v>7.0</v>
      </c>
      <c r="D289" s="4">
        <v>46030.9875</v>
      </c>
      <c r="E289" s="2">
        <v>299.0</v>
      </c>
      <c r="F289" s="2" t="s">
        <v>12</v>
      </c>
      <c r="G289" s="2" t="s">
        <v>23</v>
      </c>
      <c r="H289" s="2">
        <v>98.0</v>
      </c>
      <c r="I289" s="5" t="str">
        <f>IFERROR(VLOOKUP($C289, merchants!$A$2:$D$41, 2, FALSE), "Merchant not found")</f>
        <v>Merchant_007</v>
      </c>
      <c r="J289" s="5" t="str">
        <f>IFERROR(VLOOKUP($C289, merchants!$A$2:$D$41, 3, FALSE), "Merchant not found")</f>
        <v>food_delivery</v>
      </c>
      <c r="K289" s="5" t="str">
        <f>IFERROR(VLOOKUP($C289, merchants!$A$2:$D$41, 4, FALSE), "Merchant not found")</f>
        <v>East</v>
      </c>
      <c r="Q289" s="5">
        <f t="shared" si="1"/>
        <v>0.3</v>
      </c>
      <c r="R289" s="6">
        <f t="shared" si="2"/>
        <v>46030</v>
      </c>
      <c r="S289" s="5">
        <f t="shared" si="3"/>
        <v>299</v>
      </c>
      <c r="T289" s="5" t="str">
        <f t="shared" si="4"/>
        <v>Normal</v>
      </c>
    </row>
    <row r="290">
      <c r="A290" s="2" t="s">
        <v>407</v>
      </c>
      <c r="B290" s="2">
        <v>171.0</v>
      </c>
      <c r="C290" s="2">
        <v>9.0</v>
      </c>
      <c r="D290" s="4">
        <v>46041.99166666667</v>
      </c>
      <c r="E290" s="2">
        <v>299.0</v>
      </c>
      <c r="F290" s="2" t="s">
        <v>12</v>
      </c>
      <c r="G290" s="2" t="s">
        <v>23</v>
      </c>
      <c r="H290" s="2">
        <v>5.0</v>
      </c>
      <c r="I290" s="5" t="str">
        <f>IFERROR(VLOOKUP($C290, merchants!$A$2:$D$41, 2, FALSE), "Merchant not found")</f>
        <v>Merchant_009</v>
      </c>
      <c r="J290" s="5" t="str">
        <f>IFERROR(VLOOKUP($C290, merchants!$A$2:$D$41, 3, FALSE), "Merchant not found")</f>
        <v>ecommerce</v>
      </c>
      <c r="K290" s="5" t="str">
        <f>IFERROR(VLOOKUP($C290, merchants!$A$2:$D$41, 4, FALSE), "Merchant not found")</f>
        <v>North</v>
      </c>
      <c r="Q290" s="5">
        <f t="shared" si="1"/>
        <v>0.3</v>
      </c>
      <c r="R290" s="6">
        <f t="shared" si="2"/>
        <v>46041</v>
      </c>
      <c r="S290" s="5">
        <f t="shared" si="3"/>
        <v>299</v>
      </c>
      <c r="T290" s="5" t="str">
        <f t="shared" si="4"/>
        <v>Normal</v>
      </c>
    </row>
    <row r="291">
      <c r="A291" s="2" t="s">
        <v>408</v>
      </c>
      <c r="B291" s="2">
        <v>330.0</v>
      </c>
      <c r="C291" s="2">
        <v>12.0</v>
      </c>
      <c r="D291" s="4">
        <v>46034.722916666666</v>
      </c>
      <c r="E291" s="2">
        <v>1499.0</v>
      </c>
      <c r="F291" s="2" t="s">
        <v>15</v>
      </c>
      <c r="G291" s="2" t="s">
        <v>23</v>
      </c>
      <c r="H291" s="2">
        <v>99.0</v>
      </c>
      <c r="I291" s="5" t="str">
        <f>IFERROR(VLOOKUP($C291, merchants!$A$2:$D$41, 2, FALSE), "Merchant not found")</f>
        <v>Merchant_012</v>
      </c>
      <c r="J291" s="5" t="str">
        <f>IFERROR(VLOOKUP($C291, merchants!$A$2:$D$41, 3, FALSE), "Merchant not found")</f>
        <v>ecommerce</v>
      </c>
      <c r="K291" s="5" t="str">
        <f>IFERROR(VLOOKUP($C291, merchants!$A$2:$D$41, 4, FALSE), "Merchant not found")</f>
        <v>East</v>
      </c>
      <c r="Q291" s="5">
        <f t="shared" si="1"/>
        <v>0.9</v>
      </c>
      <c r="R291" s="6">
        <f t="shared" si="2"/>
        <v>46034</v>
      </c>
      <c r="S291" s="5">
        <f t="shared" si="3"/>
        <v>1998</v>
      </c>
      <c r="T291" s="5" t="str">
        <f t="shared" si="4"/>
        <v>Normal</v>
      </c>
    </row>
    <row r="292">
      <c r="A292" s="2" t="s">
        <v>409</v>
      </c>
      <c r="B292" s="2">
        <v>246.0</v>
      </c>
      <c r="C292" s="2">
        <v>12.0</v>
      </c>
      <c r="D292" s="4">
        <v>46044.61388888889</v>
      </c>
      <c r="E292" s="2">
        <v>99.0</v>
      </c>
      <c r="F292" s="2" t="s">
        <v>13</v>
      </c>
      <c r="G292" s="2" t="s">
        <v>23</v>
      </c>
      <c r="H292" s="2">
        <v>17.0</v>
      </c>
      <c r="I292" s="5" t="str">
        <f>IFERROR(VLOOKUP($C292, merchants!$A$2:$D$41, 2, FALSE), "Merchant not found")</f>
        <v>Merchant_012</v>
      </c>
      <c r="J292" s="5" t="str">
        <f>IFERROR(VLOOKUP($C292, merchants!$A$2:$D$41, 3, FALSE), "Merchant not found")</f>
        <v>ecommerce</v>
      </c>
      <c r="K292" s="5" t="str">
        <f>IFERROR(VLOOKUP($C292, merchants!$A$2:$D$41, 4, FALSE), "Merchant not found")</f>
        <v>East</v>
      </c>
      <c r="Q292" s="5">
        <f t="shared" si="1"/>
        <v>0.5</v>
      </c>
      <c r="R292" s="6">
        <f t="shared" si="2"/>
        <v>46044</v>
      </c>
      <c r="S292" s="5">
        <f t="shared" si="3"/>
        <v>99</v>
      </c>
      <c r="T292" s="5" t="str">
        <f t="shared" si="4"/>
        <v>Normal</v>
      </c>
    </row>
    <row r="293">
      <c r="A293" s="2" t="s">
        <v>410</v>
      </c>
      <c r="B293" s="2">
        <v>235.0</v>
      </c>
      <c r="C293" s="2">
        <v>3.0</v>
      </c>
      <c r="D293" s="4">
        <v>46025.950694444444</v>
      </c>
      <c r="E293" s="2">
        <v>49.0</v>
      </c>
      <c r="F293" s="2" t="s">
        <v>12</v>
      </c>
      <c r="G293" s="2" t="s">
        <v>23</v>
      </c>
      <c r="H293" s="2">
        <v>37.0</v>
      </c>
      <c r="I293" s="5" t="str">
        <f>IFERROR(VLOOKUP($C293, merchants!$A$2:$D$41, 2, FALSE), "Merchant not found")</f>
        <v>Merchant_003</v>
      </c>
      <c r="J293" s="5" t="str">
        <f>IFERROR(VLOOKUP($C293, merchants!$A$2:$D$41, 3, FALSE), "Merchant not found")</f>
        <v>grocery</v>
      </c>
      <c r="K293" s="5" t="str">
        <f>IFERROR(VLOOKUP($C293, merchants!$A$2:$D$41, 4, FALSE), "Merchant not found")</f>
        <v>East</v>
      </c>
      <c r="Q293" s="5">
        <f t="shared" si="1"/>
        <v>0.3</v>
      </c>
      <c r="R293" s="6">
        <f t="shared" si="2"/>
        <v>46025</v>
      </c>
      <c r="S293" s="5">
        <f t="shared" si="3"/>
        <v>198</v>
      </c>
      <c r="T293" s="5" t="str">
        <f t="shared" si="4"/>
        <v>Normal</v>
      </c>
    </row>
    <row r="294">
      <c r="A294" s="2" t="s">
        <v>411</v>
      </c>
      <c r="B294" s="2">
        <v>103.0</v>
      </c>
      <c r="C294" s="2">
        <v>3.0</v>
      </c>
      <c r="D294" s="4">
        <v>46029.07638888889</v>
      </c>
      <c r="E294" s="2">
        <v>499.0</v>
      </c>
      <c r="F294" s="2" t="s">
        <v>12</v>
      </c>
      <c r="G294" s="2" t="s">
        <v>23</v>
      </c>
      <c r="H294" s="2">
        <v>40.0</v>
      </c>
      <c r="I294" s="5" t="str">
        <f>IFERROR(VLOOKUP($C294, merchants!$A$2:$D$41, 2, FALSE), "Merchant not found")</f>
        <v>Merchant_003</v>
      </c>
      <c r="J294" s="5" t="str">
        <f>IFERROR(VLOOKUP($C294, merchants!$A$2:$D$41, 3, FALSE), "Merchant not found")</f>
        <v>grocery</v>
      </c>
      <c r="K294" s="5" t="str">
        <f>IFERROR(VLOOKUP($C294, merchants!$A$2:$D$41, 4, FALSE), "Merchant not found")</f>
        <v>East</v>
      </c>
      <c r="Q294" s="5">
        <f t="shared" si="1"/>
        <v>0.3</v>
      </c>
      <c r="R294" s="6">
        <f t="shared" si="2"/>
        <v>46029</v>
      </c>
      <c r="S294" s="5">
        <f t="shared" si="3"/>
        <v>798</v>
      </c>
      <c r="T294" s="5" t="str">
        <f t="shared" si="4"/>
        <v>Normal</v>
      </c>
    </row>
    <row r="295">
      <c r="A295" s="2" t="s">
        <v>412</v>
      </c>
      <c r="B295" s="2">
        <v>204.0</v>
      </c>
      <c r="C295" s="2">
        <v>35.0</v>
      </c>
      <c r="D295" s="4">
        <v>46052.39722222222</v>
      </c>
      <c r="E295" s="2">
        <v>99.0</v>
      </c>
      <c r="F295" s="2" t="s">
        <v>13</v>
      </c>
      <c r="G295" s="2" t="s">
        <v>23</v>
      </c>
      <c r="H295" s="2">
        <v>60.0</v>
      </c>
      <c r="I295" s="5" t="str">
        <f>IFERROR(VLOOKUP($C295, merchants!$A$2:$D$41, 2, FALSE), "Merchant not found")</f>
        <v>Merchant_035</v>
      </c>
      <c r="J295" s="5" t="str">
        <f>IFERROR(VLOOKUP($C295, merchants!$A$2:$D$41, 3, FALSE), "Merchant not found")</f>
        <v>recharge</v>
      </c>
      <c r="K295" s="5" t="str">
        <f>IFERROR(VLOOKUP($C295, merchants!$A$2:$D$41, 4, FALSE), "Merchant not found")</f>
        <v>East</v>
      </c>
      <c r="Q295" s="5">
        <f t="shared" si="1"/>
        <v>0.5</v>
      </c>
      <c r="R295" s="6">
        <f t="shared" si="2"/>
        <v>46052</v>
      </c>
      <c r="S295" s="5">
        <f t="shared" si="3"/>
        <v>99</v>
      </c>
      <c r="T295" s="5" t="str">
        <f t="shared" si="4"/>
        <v>Normal</v>
      </c>
    </row>
    <row r="296">
      <c r="A296" s="2" t="s">
        <v>413</v>
      </c>
      <c r="B296" s="2">
        <v>332.0</v>
      </c>
      <c r="C296" s="2">
        <v>13.0</v>
      </c>
      <c r="D296" s="4">
        <v>46031.075</v>
      </c>
      <c r="E296" s="2">
        <v>49.0</v>
      </c>
      <c r="F296" s="2" t="s">
        <v>14</v>
      </c>
      <c r="G296" s="2" t="s">
        <v>23</v>
      </c>
      <c r="H296" s="2">
        <v>36.0</v>
      </c>
      <c r="I296" s="5" t="str">
        <f>IFERROR(VLOOKUP($C296, merchants!$A$2:$D$41, 2, FALSE), "Merchant not found")</f>
        <v>Merchant_013</v>
      </c>
      <c r="J296" s="5" t="str">
        <f>IFERROR(VLOOKUP($C296, merchants!$A$2:$D$41, 3, FALSE), "Merchant not found")</f>
        <v>travel</v>
      </c>
      <c r="K296" s="5" t="str">
        <f>IFERROR(VLOOKUP($C296, merchants!$A$2:$D$41, 4, FALSE), "Merchant not found")</f>
        <v>East</v>
      </c>
      <c r="Q296" s="5">
        <f t="shared" si="1"/>
        <v>1.5</v>
      </c>
      <c r="R296" s="6">
        <f t="shared" si="2"/>
        <v>46031</v>
      </c>
      <c r="S296" s="5">
        <f t="shared" si="3"/>
        <v>198</v>
      </c>
      <c r="T296" s="5" t="str">
        <f t="shared" si="4"/>
        <v>Normal</v>
      </c>
    </row>
    <row r="297">
      <c r="A297" s="2" t="s">
        <v>414</v>
      </c>
      <c r="B297" s="2">
        <v>336.0</v>
      </c>
      <c r="C297" s="2">
        <v>22.0</v>
      </c>
      <c r="D297" s="4">
        <v>46034.07986111111</v>
      </c>
      <c r="E297" s="2">
        <v>499.0</v>
      </c>
      <c r="F297" s="2" t="s">
        <v>12</v>
      </c>
      <c r="G297" s="2" t="s">
        <v>23</v>
      </c>
      <c r="H297" s="2">
        <v>34.0</v>
      </c>
      <c r="I297" s="5" t="str">
        <f>IFERROR(VLOOKUP($C297, merchants!$A$2:$D$41, 2, FALSE), "Merchant not found")</f>
        <v>Merchant_022</v>
      </c>
      <c r="J297" s="5" t="str">
        <f>IFERROR(VLOOKUP($C297, merchants!$A$2:$D$41, 3, FALSE), "Merchant not found")</f>
        <v>travel</v>
      </c>
      <c r="K297" s="5" t="str">
        <f>IFERROR(VLOOKUP($C297, merchants!$A$2:$D$41, 4, FALSE), "Merchant not found")</f>
        <v>South</v>
      </c>
      <c r="Q297" s="5">
        <f t="shared" si="1"/>
        <v>0.3</v>
      </c>
      <c r="R297" s="6">
        <f t="shared" si="2"/>
        <v>46034</v>
      </c>
      <c r="S297" s="5">
        <f t="shared" si="3"/>
        <v>1697</v>
      </c>
      <c r="T297" s="5" t="str">
        <f t="shared" si="4"/>
        <v>Normal</v>
      </c>
    </row>
    <row r="298">
      <c r="A298" s="2" t="s">
        <v>415</v>
      </c>
      <c r="B298" s="2">
        <v>205.0</v>
      </c>
      <c r="C298" s="2">
        <v>29.0</v>
      </c>
      <c r="D298" s="4">
        <v>46026.47708333333</v>
      </c>
      <c r="E298" s="2">
        <v>99.0</v>
      </c>
      <c r="F298" s="2" t="s">
        <v>13</v>
      </c>
      <c r="G298" s="2" t="s">
        <v>23</v>
      </c>
      <c r="H298" s="2">
        <v>49.0</v>
      </c>
      <c r="I298" s="5" t="str">
        <f>IFERROR(VLOOKUP($C298, merchants!$A$2:$D$41, 2, FALSE), "Merchant not found")</f>
        <v>Merchant_029</v>
      </c>
      <c r="J298" s="5" t="str">
        <f>IFERROR(VLOOKUP($C298, merchants!$A$2:$D$41, 3, FALSE), "Merchant not found")</f>
        <v>ecommerce</v>
      </c>
      <c r="K298" s="5" t="str">
        <f>IFERROR(VLOOKUP($C298, merchants!$A$2:$D$41, 4, FALSE), "Merchant not found")</f>
        <v>North</v>
      </c>
      <c r="Q298" s="5">
        <f t="shared" si="1"/>
        <v>0.5</v>
      </c>
      <c r="R298" s="6">
        <f t="shared" si="2"/>
        <v>46026</v>
      </c>
      <c r="S298" s="5">
        <f t="shared" si="3"/>
        <v>99</v>
      </c>
      <c r="T298" s="5" t="str">
        <f t="shared" si="4"/>
        <v>Normal</v>
      </c>
    </row>
    <row r="299">
      <c r="A299" s="2" t="s">
        <v>416</v>
      </c>
      <c r="B299" s="2">
        <v>255.0</v>
      </c>
      <c r="C299" s="2">
        <v>24.0</v>
      </c>
      <c r="D299" s="4">
        <v>46033.22986111111</v>
      </c>
      <c r="E299" s="2">
        <v>799.0</v>
      </c>
      <c r="F299" s="2" t="s">
        <v>12</v>
      </c>
      <c r="G299" s="2" t="s">
        <v>23</v>
      </c>
      <c r="H299" s="2">
        <v>66.0</v>
      </c>
      <c r="I299" s="5" t="str">
        <f>IFERROR(VLOOKUP($C299, merchants!$A$2:$D$41, 2, FALSE), "Merchant not found")</f>
        <v>Merchant_024</v>
      </c>
      <c r="J299" s="5" t="str">
        <f>IFERROR(VLOOKUP($C299, merchants!$A$2:$D$41, 3, FALSE), "Merchant not found")</f>
        <v>grocery</v>
      </c>
      <c r="K299" s="5" t="str">
        <f>IFERROR(VLOOKUP($C299, merchants!$A$2:$D$41, 4, FALSE), "Merchant not found")</f>
        <v>North</v>
      </c>
      <c r="Q299" s="5">
        <f t="shared" si="1"/>
        <v>0.3</v>
      </c>
      <c r="R299" s="6">
        <f t="shared" si="2"/>
        <v>46033</v>
      </c>
      <c r="S299" s="5">
        <f t="shared" si="3"/>
        <v>799</v>
      </c>
      <c r="T299" s="5" t="str">
        <f t="shared" si="4"/>
        <v>Normal</v>
      </c>
    </row>
    <row r="300">
      <c r="A300" s="2" t="s">
        <v>417</v>
      </c>
      <c r="B300" s="2">
        <v>218.0</v>
      </c>
      <c r="C300" s="2">
        <v>6.0</v>
      </c>
      <c r="D300" s="4">
        <v>46031.115277777775</v>
      </c>
      <c r="E300" s="2">
        <v>99.0</v>
      </c>
      <c r="F300" s="2" t="s">
        <v>12</v>
      </c>
      <c r="G300" s="2" t="s">
        <v>23</v>
      </c>
      <c r="H300" s="2">
        <v>55.0</v>
      </c>
      <c r="I300" s="5" t="str">
        <f>IFERROR(VLOOKUP($C300, merchants!$A$2:$D$41, 2, FALSE), "Merchant not found")</f>
        <v>Merchant_006</v>
      </c>
      <c r="J300" s="5" t="str">
        <f>IFERROR(VLOOKUP($C300, merchants!$A$2:$D$41, 3, FALSE), "Merchant not found")</f>
        <v>food_delivery</v>
      </c>
      <c r="K300" s="5" t="str">
        <f>IFERROR(VLOOKUP($C300, merchants!$A$2:$D$41, 4, FALSE), "Merchant not found")</f>
        <v>South</v>
      </c>
      <c r="Q300" s="5">
        <f t="shared" si="1"/>
        <v>0.3</v>
      </c>
      <c r="R300" s="6">
        <f t="shared" si="2"/>
        <v>46031</v>
      </c>
      <c r="S300" s="5">
        <f t="shared" si="3"/>
        <v>99</v>
      </c>
      <c r="T300" s="5" t="str">
        <f t="shared" si="4"/>
        <v>Normal</v>
      </c>
    </row>
    <row r="301">
      <c r="A301" s="2" t="s">
        <v>418</v>
      </c>
      <c r="B301" s="2">
        <v>151.0</v>
      </c>
      <c r="C301" s="2">
        <v>21.0</v>
      </c>
      <c r="D301" s="4">
        <v>46042.231944444444</v>
      </c>
      <c r="E301" s="2">
        <v>49.0</v>
      </c>
      <c r="F301" s="2" t="s">
        <v>12</v>
      </c>
      <c r="G301" s="2" t="s">
        <v>23</v>
      </c>
      <c r="H301" s="2">
        <v>13.0</v>
      </c>
      <c r="I301" s="5" t="str">
        <f>IFERROR(VLOOKUP($C301, merchants!$A$2:$D$41, 2, FALSE), "Merchant not found")</f>
        <v>Merchant_021</v>
      </c>
      <c r="J301" s="5" t="str">
        <f>IFERROR(VLOOKUP($C301, merchants!$A$2:$D$41, 3, FALSE), "Merchant not found")</f>
        <v>food_delivery</v>
      </c>
      <c r="K301" s="5" t="str">
        <f>IFERROR(VLOOKUP($C301, merchants!$A$2:$D$41, 4, FALSE), "Merchant not found")</f>
        <v>East</v>
      </c>
      <c r="Q301" s="5">
        <f t="shared" si="1"/>
        <v>0.3</v>
      </c>
      <c r="R301" s="6">
        <f t="shared" si="2"/>
        <v>46042</v>
      </c>
      <c r="S301" s="5">
        <f t="shared" si="3"/>
        <v>49</v>
      </c>
      <c r="T301" s="5" t="str">
        <f t="shared" si="4"/>
        <v>Normal</v>
      </c>
    </row>
    <row r="302">
      <c r="A302" s="2" t="s">
        <v>419</v>
      </c>
      <c r="B302" s="2">
        <v>152.0</v>
      </c>
      <c r="C302" s="2">
        <v>20.0</v>
      </c>
      <c r="D302" s="4">
        <v>46025.44583333333</v>
      </c>
      <c r="E302" s="2">
        <v>49.0</v>
      </c>
      <c r="F302" s="2" t="s">
        <v>12</v>
      </c>
      <c r="G302" s="2" t="s">
        <v>23</v>
      </c>
      <c r="H302" s="2">
        <v>57.0</v>
      </c>
      <c r="I302" s="5" t="str">
        <f>IFERROR(VLOOKUP($C302, merchants!$A$2:$D$41, 2, FALSE), "Merchant not found")</f>
        <v>Merchant_020</v>
      </c>
      <c r="J302" s="5" t="str">
        <f>IFERROR(VLOOKUP($C302, merchants!$A$2:$D$41, 3, FALSE), "Merchant not found")</f>
        <v>food_delivery</v>
      </c>
      <c r="K302" s="5" t="str">
        <f>IFERROR(VLOOKUP($C302, merchants!$A$2:$D$41, 4, FALSE), "Merchant not found")</f>
        <v>East</v>
      </c>
      <c r="Q302" s="5">
        <f t="shared" si="1"/>
        <v>0.3</v>
      </c>
      <c r="R302" s="6">
        <f t="shared" si="2"/>
        <v>46025</v>
      </c>
      <c r="S302" s="5">
        <f t="shared" si="3"/>
        <v>348</v>
      </c>
      <c r="T302" s="5" t="str">
        <f t="shared" si="4"/>
        <v>Normal</v>
      </c>
    </row>
    <row r="303">
      <c r="A303" s="2" t="s">
        <v>420</v>
      </c>
      <c r="B303" s="2">
        <v>86.0</v>
      </c>
      <c r="C303" s="2">
        <v>29.0</v>
      </c>
      <c r="D303" s="4">
        <v>46042.93541666667</v>
      </c>
      <c r="E303" s="2">
        <v>149.0</v>
      </c>
      <c r="F303" s="2" t="s">
        <v>14</v>
      </c>
      <c r="G303" s="2" t="s">
        <v>23</v>
      </c>
      <c r="H303" s="2">
        <v>44.0</v>
      </c>
      <c r="I303" s="5" t="str">
        <f>IFERROR(VLOOKUP($C303, merchants!$A$2:$D$41, 2, FALSE), "Merchant not found")</f>
        <v>Merchant_029</v>
      </c>
      <c r="J303" s="5" t="str">
        <f>IFERROR(VLOOKUP($C303, merchants!$A$2:$D$41, 3, FALSE), "Merchant not found")</f>
        <v>ecommerce</v>
      </c>
      <c r="K303" s="5" t="str">
        <f>IFERROR(VLOOKUP($C303, merchants!$A$2:$D$41, 4, FALSE), "Merchant not found")</f>
        <v>North</v>
      </c>
      <c r="Q303" s="5">
        <f t="shared" si="1"/>
        <v>1.5</v>
      </c>
      <c r="R303" s="6">
        <f t="shared" si="2"/>
        <v>46042</v>
      </c>
      <c r="S303" s="5">
        <f t="shared" si="3"/>
        <v>149</v>
      </c>
      <c r="T303" s="5" t="str">
        <f t="shared" si="4"/>
        <v>Normal</v>
      </c>
    </row>
    <row r="304">
      <c r="A304" s="2" t="s">
        <v>421</v>
      </c>
      <c r="B304" s="2">
        <v>181.0</v>
      </c>
      <c r="C304" s="2">
        <v>40.0</v>
      </c>
      <c r="D304" s="4">
        <v>46037.07361111111</v>
      </c>
      <c r="E304" s="2">
        <v>149.0</v>
      </c>
      <c r="F304" s="2" t="s">
        <v>12</v>
      </c>
      <c r="G304" s="2" t="s">
        <v>23</v>
      </c>
      <c r="H304" s="2">
        <v>55.0</v>
      </c>
      <c r="I304" s="5" t="str">
        <f>IFERROR(VLOOKUP($C304, merchants!$A$2:$D$41, 2, FALSE), "Merchant not found")</f>
        <v>Merchant_040</v>
      </c>
      <c r="J304" s="5" t="str">
        <f>IFERROR(VLOOKUP($C304, merchants!$A$2:$D$41, 3, FALSE), "Merchant not found")</f>
        <v>entertainment</v>
      </c>
      <c r="K304" s="5" t="str">
        <f>IFERROR(VLOOKUP($C304, merchants!$A$2:$D$41, 4, FALSE), "Merchant not found")</f>
        <v>South</v>
      </c>
      <c r="Q304" s="5">
        <f t="shared" si="1"/>
        <v>0.3</v>
      </c>
      <c r="R304" s="6">
        <f t="shared" si="2"/>
        <v>46037</v>
      </c>
      <c r="S304" s="5">
        <f t="shared" si="3"/>
        <v>149</v>
      </c>
      <c r="T304" s="5" t="str">
        <f t="shared" si="4"/>
        <v>Normal</v>
      </c>
    </row>
    <row r="305">
      <c r="A305" s="2" t="s">
        <v>422</v>
      </c>
      <c r="B305" s="2">
        <v>30.0</v>
      </c>
      <c r="C305" s="2">
        <v>5.0</v>
      </c>
      <c r="D305" s="4">
        <v>46031.868055555555</v>
      </c>
      <c r="E305" s="2">
        <v>299.0</v>
      </c>
      <c r="F305" s="2" t="s">
        <v>12</v>
      </c>
      <c r="G305" s="2" t="s">
        <v>23</v>
      </c>
      <c r="H305" s="2">
        <v>85.0</v>
      </c>
      <c r="I305" s="5" t="str">
        <f>IFERROR(VLOOKUP($C305, merchants!$A$2:$D$41, 2, FALSE), "Merchant not found")</f>
        <v>Merchant_005</v>
      </c>
      <c r="J305" s="5" t="str">
        <f>IFERROR(VLOOKUP($C305, merchants!$A$2:$D$41, 3, FALSE), "Merchant not found")</f>
        <v>recharge</v>
      </c>
      <c r="K305" s="5" t="str">
        <f>IFERROR(VLOOKUP($C305, merchants!$A$2:$D$41, 4, FALSE), "Merchant not found")</f>
        <v>South</v>
      </c>
      <c r="Q305" s="5">
        <f t="shared" si="1"/>
        <v>0.3</v>
      </c>
      <c r="R305" s="6">
        <f t="shared" si="2"/>
        <v>46031</v>
      </c>
      <c r="S305" s="5">
        <f t="shared" si="3"/>
        <v>348</v>
      </c>
      <c r="T305" s="5" t="str">
        <f t="shared" si="4"/>
        <v>Normal</v>
      </c>
    </row>
    <row r="306">
      <c r="A306" s="2" t="s">
        <v>423</v>
      </c>
      <c r="B306" s="2">
        <v>263.0</v>
      </c>
      <c r="C306" s="2">
        <v>11.0</v>
      </c>
      <c r="D306" s="4">
        <v>46043.51597222222</v>
      </c>
      <c r="E306" s="2">
        <v>149.0</v>
      </c>
      <c r="F306" s="2" t="s">
        <v>13</v>
      </c>
      <c r="G306" s="2" t="s">
        <v>23</v>
      </c>
      <c r="H306" s="2">
        <v>3.0</v>
      </c>
      <c r="I306" s="5" t="str">
        <f>IFERROR(VLOOKUP($C306, merchants!$A$2:$D$41, 2, FALSE), "Merchant not found")</f>
        <v>Merchant_011</v>
      </c>
      <c r="J306" s="5" t="str">
        <f>IFERROR(VLOOKUP($C306, merchants!$A$2:$D$41, 3, FALSE), "Merchant not found")</f>
        <v>ecommerce</v>
      </c>
      <c r="K306" s="5" t="str">
        <f>IFERROR(VLOOKUP($C306, merchants!$A$2:$D$41, 4, FALSE), "Merchant not found")</f>
        <v>North</v>
      </c>
      <c r="Q306" s="5">
        <f t="shared" si="1"/>
        <v>0.5</v>
      </c>
      <c r="R306" s="6">
        <f t="shared" si="2"/>
        <v>46043</v>
      </c>
      <c r="S306" s="5">
        <f t="shared" si="3"/>
        <v>149</v>
      </c>
      <c r="T306" s="5" t="str">
        <f t="shared" si="4"/>
        <v>Normal</v>
      </c>
    </row>
    <row r="307">
      <c r="A307" s="2" t="s">
        <v>424</v>
      </c>
      <c r="B307" s="2">
        <v>225.0</v>
      </c>
      <c r="C307" s="2">
        <v>3.0</v>
      </c>
      <c r="D307" s="4">
        <v>46027.82152777778</v>
      </c>
      <c r="E307" s="2">
        <v>99.0</v>
      </c>
      <c r="F307" s="2" t="s">
        <v>15</v>
      </c>
      <c r="G307" s="2" t="s">
        <v>23</v>
      </c>
      <c r="H307" s="2">
        <v>16.0</v>
      </c>
      <c r="I307" s="5" t="str">
        <f>IFERROR(VLOOKUP($C307, merchants!$A$2:$D$41, 2, FALSE), "Merchant not found")</f>
        <v>Merchant_003</v>
      </c>
      <c r="J307" s="5" t="str">
        <f>IFERROR(VLOOKUP($C307, merchants!$A$2:$D$41, 3, FALSE), "Merchant not found")</f>
        <v>grocery</v>
      </c>
      <c r="K307" s="5" t="str">
        <f>IFERROR(VLOOKUP($C307, merchants!$A$2:$D$41, 4, FALSE), "Merchant not found")</f>
        <v>East</v>
      </c>
      <c r="Q307" s="5">
        <f t="shared" si="1"/>
        <v>0.9</v>
      </c>
      <c r="R307" s="6">
        <f t="shared" si="2"/>
        <v>46027</v>
      </c>
      <c r="S307" s="5">
        <f t="shared" si="3"/>
        <v>99</v>
      </c>
      <c r="T307" s="5" t="str">
        <f t="shared" si="4"/>
        <v>Normal</v>
      </c>
    </row>
    <row r="308">
      <c r="A308" s="2" t="s">
        <v>425</v>
      </c>
      <c r="B308" s="2">
        <v>331.0</v>
      </c>
      <c r="C308" s="2">
        <v>24.0</v>
      </c>
      <c r="D308" s="4">
        <v>46025.325694444444</v>
      </c>
      <c r="E308" s="2">
        <v>49.0</v>
      </c>
      <c r="F308" s="2" t="s">
        <v>14</v>
      </c>
      <c r="G308" s="2" t="s">
        <v>23</v>
      </c>
      <c r="H308" s="2">
        <v>46.0</v>
      </c>
      <c r="I308" s="5" t="str">
        <f>IFERROR(VLOOKUP($C308, merchants!$A$2:$D$41, 2, FALSE), "Merchant not found")</f>
        <v>Merchant_024</v>
      </c>
      <c r="J308" s="5" t="str">
        <f>IFERROR(VLOOKUP($C308, merchants!$A$2:$D$41, 3, FALSE), "Merchant not found")</f>
        <v>grocery</v>
      </c>
      <c r="K308" s="5" t="str">
        <f>IFERROR(VLOOKUP($C308, merchants!$A$2:$D$41, 4, FALSE), "Merchant not found")</f>
        <v>North</v>
      </c>
      <c r="Q308" s="5">
        <f t="shared" si="1"/>
        <v>1.5</v>
      </c>
      <c r="R308" s="6">
        <f t="shared" si="2"/>
        <v>46025</v>
      </c>
      <c r="S308" s="5">
        <f t="shared" si="3"/>
        <v>49</v>
      </c>
      <c r="T308" s="5" t="str">
        <f t="shared" si="4"/>
        <v>Normal</v>
      </c>
    </row>
    <row r="309">
      <c r="A309" s="2" t="s">
        <v>426</v>
      </c>
      <c r="B309" s="2">
        <v>310.0</v>
      </c>
      <c r="C309" s="2">
        <v>10.0</v>
      </c>
      <c r="D309" s="4">
        <v>46035.751388888886</v>
      </c>
      <c r="E309" s="2">
        <v>1499.0</v>
      </c>
      <c r="F309" s="2" t="s">
        <v>14</v>
      </c>
      <c r="G309" s="2" t="s">
        <v>23</v>
      </c>
      <c r="H309" s="2">
        <v>86.0</v>
      </c>
      <c r="I309" s="5" t="str">
        <f>IFERROR(VLOOKUP($C309, merchants!$A$2:$D$41, 2, FALSE), "Merchant not found")</f>
        <v>Merchant_010</v>
      </c>
      <c r="J309" s="5" t="str">
        <f>IFERROR(VLOOKUP($C309, merchants!$A$2:$D$41, 3, FALSE), "Merchant not found")</f>
        <v>grocery</v>
      </c>
      <c r="K309" s="5" t="str">
        <f>IFERROR(VLOOKUP($C309, merchants!$A$2:$D$41, 4, FALSE), "Merchant not found")</f>
        <v>West</v>
      </c>
      <c r="Q309" s="5">
        <f t="shared" si="1"/>
        <v>1.5</v>
      </c>
      <c r="R309" s="6">
        <f t="shared" si="2"/>
        <v>46035</v>
      </c>
      <c r="S309" s="5">
        <f t="shared" si="3"/>
        <v>1499</v>
      </c>
      <c r="T309" s="5" t="str">
        <f t="shared" si="4"/>
        <v>Normal</v>
      </c>
    </row>
    <row r="310">
      <c r="A310" s="2" t="s">
        <v>427</v>
      </c>
      <c r="B310" s="2">
        <v>228.0</v>
      </c>
      <c r="C310" s="2">
        <v>5.0</v>
      </c>
      <c r="D310" s="4">
        <v>46037.47430555556</v>
      </c>
      <c r="E310" s="2">
        <v>49.0</v>
      </c>
      <c r="F310" s="2" t="s">
        <v>12</v>
      </c>
      <c r="G310" s="2" t="s">
        <v>23</v>
      </c>
      <c r="H310" s="2">
        <v>73.0</v>
      </c>
      <c r="I310" s="5" t="str">
        <f>IFERROR(VLOOKUP($C310, merchants!$A$2:$D$41, 2, FALSE), "Merchant not found")</f>
        <v>Merchant_005</v>
      </c>
      <c r="J310" s="5" t="str">
        <f>IFERROR(VLOOKUP($C310, merchants!$A$2:$D$41, 3, FALSE), "Merchant not found")</f>
        <v>recharge</v>
      </c>
      <c r="K310" s="5" t="str">
        <f>IFERROR(VLOOKUP($C310, merchants!$A$2:$D$41, 4, FALSE), "Merchant not found")</f>
        <v>South</v>
      </c>
      <c r="Q310" s="5">
        <f t="shared" si="1"/>
        <v>0.3</v>
      </c>
      <c r="R310" s="6">
        <f t="shared" si="2"/>
        <v>46037</v>
      </c>
      <c r="S310" s="5">
        <f t="shared" si="3"/>
        <v>548</v>
      </c>
      <c r="T310" s="5" t="str">
        <f t="shared" si="4"/>
        <v>Normal</v>
      </c>
    </row>
    <row r="311">
      <c r="A311" s="2" t="s">
        <v>428</v>
      </c>
      <c r="B311" s="2">
        <v>204.0</v>
      </c>
      <c r="C311" s="2">
        <v>21.0</v>
      </c>
      <c r="D311" s="4">
        <v>46027.68263888889</v>
      </c>
      <c r="E311" s="2">
        <v>499.0</v>
      </c>
      <c r="F311" s="2" t="s">
        <v>12</v>
      </c>
      <c r="G311" s="2" t="s">
        <v>23</v>
      </c>
      <c r="H311" s="2">
        <v>83.0</v>
      </c>
      <c r="I311" s="5" t="str">
        <f>IFERROR(VLOOKUP($C311, merchants!$A$2:$D$41, 2, FALSE), "Merchant not found")</f>
        <v>Merchant_021</v>
      </c>
      <c r="J311" s="5" t="str">
        <f>IFERROR(VLOOKUP($C311, merchants!$A$2:$D$41, 3, FALSE), "Merchant not found")</f>
        <v>food_delivery</v>
      </c>
      <c r="K311" s="5" t="str">
        <f>IFERROR(VLOOKUP($C311, merchants!$A$2:$D$41, 4, FALSE), "Merchant not found")</f>
        <v>East</v>
      </c>
      <c r="Q311" s="5">
        <f t="shared" si="1"/>
        <v>0.3</v>
      </c>
      <c r="R311" s="6">
        <f t="shared" si="2"/>
        <v>46027</v>
      </c>
      <c r="S311" s="5">
        <f t="shared" si="3"/>
        <v>499</v>
      </c>
      <c r="T311" s="5" t="str">
        <f t="shared" si="4"/>
        <v>Normal</v>
      </c>
    </row>
    <row r="312">
      <c r="A312" s="2" t="s">
        <v>429</v>
      </c>
      <c r="B312" s="2">
        <v>14.0</v>
      </c>
      <c r="C312" s="2">
        <v>12.0</v>
      </c>
      <c r="D312" s="4">
        <v>46031.29652777778</v>
      </c>
      <c r="E312" s="2">
        <v>799.0</v>
      </c>
      <c r="F312" s="2" t="s">
        <v>15</v>
      </c>
      <c r="G312" s="2" t="s">
        <v>23</v>
      </c>
      <c r="H312" s="2">
        <v>63.0</v>
      </c>
      <c r="I312" s="5" t="str">
        <f>IFERROR(VLOOKUP($C312, merchants!$A$2:$D$41, 2, FALSE), "Merchant not found")</f>
        <v>Merchant_012</v>
      </c>
      <c r="J312" s="5" t="str">
        <f>IFERROR(VLOOKUP($C312, merchants!$A$2:$D$41, 3, FALSE), "Merchant not found")</f>
        <v>ecommerce</v>
      </c>
      <c r="K312" s="5" t="str">
        <f>IFERROR(VLOOKUP($C312, merchants!$A$2:$D$41, 4, FALSE), "Merchant not found")</f>
        <v>East</v>
      </c>
      <c r="Q312" s="5">
        <f t="shared" si="1"/>
        <v>0.9</v>
      </c>
      <c r="R312" s="6">
        <f t="shared" si="2"/>
        <v>46031</v>
      </c>
      <c r="S312" s="5">
        <f t="shared" si="3"/>
        <v>799</v>
      </c>
      <c r="T312" s="5" t="str">
        <f t="shared" si="4"/>
        <v>Normal</v>
      </c>
    </row>
    <row r="313">
      <c r="A313" s="2" t="s">
        <v>430</v>
      </c>
      <c r="B313" s="2">
        <v>288.0</v>
      </c>
      <c r="C313" s="2">
        <v>8.0</v>
      </c>
      <c r="D313" s="4">
        <v>46039.54027777778</v>
      </c>
      <c r="E313" s="2">
        <v>49.0</v>
      </c>
      <c r="F313" s="2" t="s">
        <v>12</v>
      </c>
      <c r="G313" s="2" t="s">
        <v>23</v>
      </c>
      <c r="H313" s="2">
        <v>33.0</v>
      </c>
      <c r="I313" s="5" t="str">
        <f>IFERROR(VLOOKUP($C313, merchants!$A$2:$D$41, 2, FALSE), "Merchant not found")</f>
        <v>Merchant_008</v>
      </c>
      <c r="J313" s="5" t="str">
        <f>IFERROR(VLOOKUP($C313, merchants!$A$2:$D$41, 3, FALSE), "Merchant not found")</f>
        <v>food_delivery</v>
      </c>
      <c r="K313" s="5" t="str">
        <f>IFERROR(VLOOKUP($C313, merchants!$A$2:$D$41, 4, FALSE), "Merchant not found")</f>
        <v>North</v>
      </c>
      <c r="Q313" s="5">
        <f t="shared" si="1"/>
        <v>0.3</v>
      </c>
      <c r="R313" s="6">
        <f t="shared" si="2"/>
        <v>46039</v>
      </c>
      <c r="S313" s="5">
        <f t="shared" si="3"/>
        <v>348</v>
      </c>
      <c r="T313" s="5" t="str">
        <f t="shared" si="4"/>
        <v>Normal</v>
      </c>
    </row>
    <row r="314">
      <c r="A314" s="2" t="s">
        <v>431</v>
      </c>
      <c r="B314" s="2">
        <v>229.0</v>
      </c>
      <c r="C314" s="2">
        <v>14.0</v>
      </c>
      <c r="D314" s="4">
        <v>46047.364583333336</v>
      </c>
      <c r="E314" s="2">
        <v>1499.0</v>
      </c>
      <c r="F314" s="2" t="s">
        <v>12</v>
      </c>
      <c r="G314" s="2" t="s">
        <v>23</v>
      </c>
      <c r="H314" s="2">
        <v>78.0</v>
      </c>
      <c r="I314" s="5" t="str">
        <f>IFERROR(VLOOKUP($C314, merchants!$A$2:$D$41, 2, FALSE), "Merchant not found")</f>
        <v>Merchant_014</v>
      </c>
      <c r="J314" s="5" t="str">
        <f>IFERROR(VLOOKUP($C314, merchants!$A$2:$D$41, 3, FALSE), "Merchant not found")</f>
        <v>grocery</v>
      </c>
      <c r="K314" s="5" t="str">
        <f>IFERROR(VLOOKUP($C314, merchants!$A$2:$D$41, 4, FALSE), "Merchant not found")</f>
        <v>East</v>
      </c>
      <c r="Q314" s="5">
        <f t="shared" si="1"/>
        <v>0.3</v>
      </c>
      <c r="R314" s="6">
        <f t="shared" si="2"/>
        <v>46047</v>
      </c>
      <c r="S314" s="5">
        <f t="shared" si="3"/>
        <v>1598</v>
      </c>
      <c r="T314" s="5" t="str">
        <f t="shared" si="4"/>
        <v>Normal</v>
      </c>
    </row>
    <row r="315">
      <c r="A315" s="2" t="s">
        <v>432</v>
      </c>
      <c r="B315" s="2">
        <v>252.0</v>
      </c>
      <c r="C315" s="2">
        <v>13.0</v>
      </c>
      <c r="D315" s="4">
        <v>46032.95694444444</v>
      </c>
      <c r="E315" s="2">
        <v>99.0</v>
      </c>
      <c r="F315" s="2" t="s">
        <v>13</v>
      </c>
      <c r="G315" s="2" t="s">
        <v>23</v>
      </c>
      <c r="H315" s="2">
        <v>15.0</v>
      </c>
      <c r="I315" s="5" t="str">
        <f>IFERROR(VLOOKUP($C315, merchants!$A$2:$D$41, 2, FALSE), "Merchant not found")</f>
        <v>Merchant_013</v>
      </c>
      <c r="J315" s="5" t="str">
        <f>IFERROR(VLOOKUP($C315, merchants!$A$2:$D$41, 3, FALSE), "Merchant not found")</f>
        <v>travel</v>
      </c>
      <c r="K315" s="5" t="str">
        <f>IFERROR(VLOOKUP($C315, merchants!$A$2:$D$41, 4, FALSE), "Merchant not found")</f>
        <v>East</v>
      </c>
      <c r="Q315" s="5">
        <f t="shared" si="1"/>
        <v>0.5</v>
      </c>
      <c r="R315" s="6">
        <f t="shared" si="2"/>
        <v>46032</v>
      </c>
      <c r="S315" s="5">
        <f t="shared" si="3"/>
        <v>99</v>
      </c>
      <c r="T315" s="5" t="str">
        <f t="shared" si="4"/>
        <v>Normal</v>
      </c>
    </row>
    <row r="316">
      <c r="A316" s="2" t="s">
        <v>433</v>
      </c>
      <c r="B316" s="2">
        <v>89.0</v>
      </c>
      <c r="C316" s="2">
        <v>29.0</v>
      </c>
      <c r="D316" s="4">
        <v>46027.10277777778</v>
      </c>
      <c r="E316" s="2">
        <v>799.0</v>
      </c>
      <c r="F316" s="2" t="s">
        <v>12</v>
      </c>
      <c r="G316" s="2" t="s">
        <v>23</v>
      </c>
      <c r="H316" s="2">
        <v>11.0</v>
      </c>
      <c r="I316" s="5" t="str">
        <f>IFERROR(VLOOKUP($C316, merchants!$A$2:$D$41, 2, FALSE), "Merchant not found")</f>
        <v>Merchant_029</v>
      </c>
      <c r="J316" s="5" t="str">
        <f>IFERROR(VLOOKUP($C316, merchants!$A$2:$D$41, 3, FALSE), "Merchant not found")</f>
        <v>ecommerce</v>
      </c>
      <c r="K316" s="5" t="str">
        <f>IFERROR(VLOOKUP($C316, merchants!$A$2:$D$41, 4, FALSE), "Merchant not found")</f>
        <v>North</v>
      </c>
      <c r="Q316" s="5">
        <f t="shared" si="1"/>
        <v>0.3</v>
      </c>
      <c r="R316" s="6">
        <f t="shared" si="2"/>
        <v>46027</v>
      </c>
      <c r="S316" s="5">
        <f t="shared" si="3"/>
        <v>799</v>
      </c>
      <c r="T316" s="5" t="str">
        <f t="shared" si="4"/>
        <v>Normal</v>
      </c>
    </row>
    <row r="317">
      <c r="A317" s="2" t="s">
        <v>434</v>
      </c>
      <c r="B317" s="2">
        <v>164.0</v>
      </c>
      <c r="C317" s="2">
        <v>23.0</v>
      </c>
      <c r="D317" s="4">
        <v>46048.9125</v>
      </c>
      <c r="E317" s="2">
        <v>49.0</v>
      </c>
      <c r="F317" s="2" t="s">
        <v>15</v>
      </c>
      <c r="G317" s="2" t="s">
        <v>23</v>
      </c>
      <c r="H317" s="2">
        <v>90.0</v>
      </c>
      <c r="I317" s="5" t="str">
        <f>IFERROR(VLOOKUP($C317, merchants!$A$2:$D$41, 2, FALSE), "Merchant not found")</f>
        <v>Merchant_023</v>
      </c>
      <c r="J317" s="5" t="str">
        <f>IFERROR(VLOOKUP($C317, merchants!$A$2:$D$41, 3, FALSE), "Merchant not found")</f>
        <v>travel</v>
      </c>
      <c r="K317" s="5" t="str">
        <f>IFERROR(VLOOKUP($C317, merchants!$A$2:$D$41, 4, FALSE), "Merchant not found")</f>
        <v>North</v>
      </c>
      <c r="Q317" s="5">
        <f t="shared" si="1"/>
        <v>0.9</v>
      </c>
      <c r="R317" s="6">
        <f t="shared" si="2"/>
        <v>46048</v>
      </c>
      <c r="S317" s="5">
        <f t="shared" si="3"/>
        <v>49</v>
      </c>
      <c r="T317" s="5" t="str">
        <f t="shared" si="4"/>
        <v>Normal</v>
      </c>
    </row>
    <row r="318">
      <c r="A318" s="2" t="s">
        <v>435</v>
      </c>
      <c r="B318" s="2">
        <v>149.0</v>
      </c>
      <c r="C318" s="2">
        <v>20.0</v>
      </c>
      <c r="D318" s="4">
        <v>46025.731944444444</v>
      </c>
      <c r="E318" s="2">
        <v>299.0</v>
      </c>
      <c r="F318" s="2" t="s">
        <v>13</v>
      </c>
      <c r="G318" s="2" t="s">
        <v>23</v>
      </c>
      <c r="H318" s="2">
        <v>20.0</v>
      </c>
      <c r="I318" s="5" t="str">
        <f>IFERROR(VLOOKUP($C318, merchants!$A$2:$D$41, 2, FALSE), "Merchant not found")</f>
        <v>Merchant_020</v>
      </c>
      <c r="J318" s="5" t="str">
        <f>IFERROR(VLOOKUP($C318, merchants!$A$2:$D$41, 3, FALSE), "Merchant not found")</f>
        <v>food_delivery</v>
      </c>
      <c r="K318" s="5" t="str">
        <f>IFERROR(VLOOKUP($C318, merchants!$A$2:$D$41, 4, FALSE), "Merchant not found")</f>
        <v>East</v>
      </c>
      <c r="Q318" s="5">
        <f t="shared" si="1"/>
        <v>0.5</v>
      </c>
      <c r="R318" s="6">
        <f t="shared" si="2"/>
        <v>46025</v>
      </c>
      <c r="S318" s="5">
        <f t="shared" si="3"/>
        <v>348</v>
      </c>
      <c r="T318" s="5" t="str">
        <f t="shared" si="4"/>
        <v>Normal</v>
      </c>
    </row>
    <row r="319">
      <c r="A319" s="2" t="s">
        <v>436</v>
      </c>
      <c r="B319" s="2">
        <v>327.0</v>
      </c>
      <c r="C319" s="2">
        <v>12.0</v>
      </c>
      <c r="D319" s="4">
        <v>46045.95763888889</v>
      </c>
      <c r="E319" s="2">
        <v>49.0</v>
      </c>
      <c r="F319" s="2" t="s">
        <v>15</v>
      </c>
      <c r="G319" s="2" t="s">
        <v>23</v>
      </c>
      <c r="H319" s="2">
        <v>46.0</v>
      </c>
      <c r="I319" s="5" t="str">
        <f>IFERROR(VLOOKUP($C319, merchants!$A$2:$D$41, 2, FALSE), "Merchant not found")</f>
        <v>Merchant_012</v>
      </c>
      <c r="J319" s="5" t="str">
        <f>IFERROR(VLOOKUP($C319, merchants!$A$2:$D$41, 3, FALSE), "Merchant not found")</f>
        <v>ecommerce</v>
      </c>
      <c r="K319" s="5" t="str">
        <f>IFERROR(VLOOKUP($C319, merchants!$A$2:$D$41, 4, FALSE), "Merchant not found")</f>
        <v>East</v>
      </c>
      <c r="Q319" s="5">
        <f t="shared" si="1"/>
        <v>0.9</v>
      </c>
      <c r="R319" s="6">
        <f t="shared" si="2"/>
        <v>46045</v>
      </c>
      <c r="S319" s="5">
        <f t="shared" si="3"/>
        <v>448</v>
      </c>
      <c r="T319" s="5" t="str">
        <f t="shared" si="4"/>
        <v>Normal</v>
      </c>
    </row>
    <row r="320">
      <c r="A320" s="2" t="s">
        <v>437</v>
      </c>
      <c r="B320" s="2">
        <v>103.0</v>
      </c>
      <c r="C320" s="2">
        <v>9.0</v>
      </c>
      <c r="D320" s="4">
        <v>46039.29652777778</v>
      </c>
      <c r="E320" s="2">
        <v>149.0</v>
      </c>
      <c r="F320" s="2" t="s">
        <v>12</v>
      </c>
      <c r="G320" s="2" t="s">
        <v>23</v>
      </c>
      <c r="H320" s="2">
        <v>30.0</v>
      </c>
      <c r="I320" s="5" t="str">
        <f>IFERROR(VLOOKUP($C320, merchants!$A$2:$D$41, 2, FALSE), "Merchant not found")</f>
        <v>Merchant_009</v>
      </c>
      <c r="J320" s="5" t="str">
        <f>IFERROR(VLOOKUP($C320, merchants!$A$2:$D$41, 3, FALSE), "Merchant not found")</f>
        <v>ecommerce</v>
      </c>
      <c r="K320" s="5" t="str">
        <f>IFERROR(VLOOKUP($C320, merchants!$A$2:$D$41, 4, FALSE), "Merchant not found")</f>
        <v>North</v>
      </c>
      <c r="Q320" s="5">
        <f t="shared" si="1"/>
        <v>0.3</v>
      </c>
      <c r="R320" s="6">
        <f t="shared" si="2"/>
        <v>46039</v>
      </c>
      <c r="S320" s="5">
        <f t="shared" si="3"/>
        <v>248</v>
      </c>
      <c r="T320" s="5" t="str">
        <f t="shared" si="4"/>
        <v>Normal</v>
      </c>
    </row>
    <row r="321">
      <c r="A321" s="2" t="s">
        <v>438</v>
      </c>
      <c r="B321" s="2">
        <v>185.0</v>
      </c>
      <c r="C321" s="2">
        <v>36.0</v>
      </c>
      <c r="D321" s="4">
        <v>46048.62569444445</v>
      </c>
      <c r="E321" s="2">
        <v>49.0</v>
      </c>
      <c r="F321" s="2" t="s">
        <v>13</v>
      </c>
      <c r="G321" s="2" t="s">
        <v>23</v>
      </c>
      <c r="H321" s="2">
        <v>73.0</v>
      </c>
      <c r="I321" s="5" t="str">
        <f>IFERROR(VLOOKUP($C321, merchants!$A$2:$D$41, 2, FALSE), "Merchant not found")</f>
        <v>Merchant_036</v>
      </c>
      <c r="J321" s="5" t="str">
        <f>IFERROR(VLOOKUP($C321, merchants!$A$2:$D$41, 3, FALSE), "Merchant not found")</f>
        <v>entertainment</v>
      </c>
      <c r="K321" s="5" t="str">
        <f>IFERROR(VLOOKUP($C321, merchants!$A$2:$D$41, 4, FALSE), "Merchant not found")</f>
        <v>East</v>
      </c>
      <c r="Q321" s="5">
        <f t="shared" si="1"/>
        <v>0.5</v>
      </c>
      <c r="R321" s="6">
        <f t="shared" si="2"/>
        <v>46048</v>
      </c>
      <c r="S321" s="5">
        <f t="shared" si="3"/>
        <v>198</v>
      </c>
      <c r="T321" s="5" t="str">
        <f t="shared" si="4"/>
        <v>Normal</v>
      </c>
    </row>
    <row r="322">
      <c r="A322" s="2" t="s">
        <v>439</v>
      </c>
      <c r="B322" s="2">
        <v>283.0</v>
      </c>
      <c r="C322" s="2">
        <v>9.0</v>
      </c>
      <c r="D322" s="4">
        <v>46034.61875</v>
      </c>
      <c r="E322" s="2">
        <v>299.0</v>
      </c>
      <c r="F322" s="2" t="s">
        <v>12</v>
      </c>
      <c r="G322" s="2" t="s">
        <v>23</v>
      </c>
      <c r="H322" s="2">
        <v>78.0</v>
      </c>
      <c r="I322" s="5" t="str">
        <f>IFERROR(VLOOKUP($C322, merchants!$A$2:$D$41, 2, FALSE), "Merchant not found")</f>
        <v>Merchant_009</v>
      </c>
      <c r="J322" s="5" t="str">
        <f>IFERROR(VLOOKUP($C322, merchants!$A$2:$D$41, 3, FALSE), "Merchant not found")</f>
        <v>ecommerce</v>
      </c>
      <c r="K322" s="5" t="str">
        <f>IFERROR(VLOOKUP($C322, merchants!$A$2:$D$41, 4, FALSE), "Merchant not found")</f>
        <v>North</v>
      </c>
      <c r="Q322" s="5">
        <f t="shared" si="1"/>
        <v>0.3</v>
      </c>
      <c r="R322" s="6">
        <f t="shared" si="2"/>
        <v>46034</v>
      </c>
      <c r="S322" s="5">
        <f t="shared" si="3"/>
        <v>299</v>
      </c>
      <c r="T322" s="5" t="str">
        <f t="shared" si="4"/>
        <v>Normal</v>
      </c>
    </row>
    <row r="323">
      <c r="A323" s="2" t="s">
        <v>440</v>
      </c>
      <c r="B323" s="2">
        <v>159.0</v>
      </c>
      <c r="C323" s="2">
        <v>26.0</v>
      </c>
      <c r="D323" s="4">
        <v>46051.08611111111</v>
      </c>
      <c r="E323" s="2">
        <v>99.0</v>
      </c>
      <c r="F323" s="2" t="s">
        <v>12</v>
      </c>
      <c r="G323" s="2" t="s">
        <v>23</v>
      </c>
      <c r="H323" s="2">
        <v>91.0</v>
      </c>
      <c r="I323" s="5" t="str">
        <f>IFERROR(VLOOKUP($C323, merchants!$A$2:$D$41, 2, FALSE), "Merchant not found")</f>
        <v>Merchant_026</v>
      </c>
      <c r="J323" s="5" t="str">
        <f>IFERROR(VLOOKUP($C323, merchants!$A$2:$D$41, 3, FALSE), "Merchant not found")</f>
        <v>food_delivery</v>
      </c>
      <c r="K323" s="5" t="str">
        <f>IFERROR(VLOOKUP($C323, merchants!$A$2:$D$41, 4, FALSE), "Merchant not found")</f>
        <v>East</v>
      </c>
      <c r="Q323" s="5">
        <f t="shared" si="1"/>
        <v>0.3</v>
      </c>
      <c r="R323" s="6">
        <f t="shared" si="2"/>
        <v>46051</v>
      </c>
      <c r="S323" s="5">
        <f t="shared" si="3"/>
        <v>148</v>
      </c>
      <c r="T323" s="5" t="str">
        <f t="shared" si="4"/>
        <v>Normal</v>
      </c>
    </row>
    <row r="324">
      <c r="A324" s="2" t="s">
        <v>441</v>
      </c>
      <c r="B324" s="2">
        <v>211.0</v>
      </c>
      <c r="C324" s="2">
        <v>27.0</v>
      </c>
      <c r="D324" s="4">
        <v>46046.64791666667</v>
      </c>
      <c r="E324" s="2">
        <v>99.0</v>
      </c>
      <c r="F324" s="2" t="s">
        <v>13</v>
      </c>
      <c r="G324" s="2" t="s">
        <v>23</v>
      </c>
      <c r="H324" s="2">
        <v>73.0</v>
      </c>
      <c r="I324" s="5" t="str">
        <f>IFERROR(VLOOKUP($C324, merchants!$A$2:$D$41, 2, FALSE), "Merchant not found")</f>
        <v>Merchant_027</v>
      </c>
      <c r="J324" s="5" t="str">
        <f>IFERROR(VLOOKUP($C324, merchants!$A$2:$D$41, 3, FALSE), "Merchant not found")</f>
        <v>ecommerce</v>
      </c>
      <c r="K324" s="5" t="str">
        <f>IFERROR(VLOOKUP($C324, merchants!$A$2:$D$41, 4, FALSE), "Merchant not found")</f>
        <v>North</v>
      </c>
      <c r="Q324" s="5">
        <f t="shared" si="1"/>
        <v>0.5</v>
      </c>
      <c r="R324" s="6">
        <f t="shared" si="2"/>
        <v>46046</v>
      </c>
      <c r="S324" s="5">
        <f t="shared" si="3"/>
        <v>99</v>
      </c>
      <c r="T324" s="5" t="str">
        <f t="shared" si="4"/>
        <v>Normal</v>
      </c>
    </row>
    <row r="325">
      <c r="A325" s="2" t="s">
        <v>442</v>
      </c>
      <c r="B325" s="2">
        <v>329.0</v>
      </c>
      <c r="C325" s="2">
        <v>5.0</v>
      </c>
      <c r="D325" s="4">
        <v>46025.180555555555</v>
      </c>
      <c r="E325" s="2">
        <v>499.0</v>
      </c>
      <c r="F325" s="2" t="s">
        <v>15</v>
      </c>
      <c r="G325" s="2" t="s">
        <v>23</v>
      </c>
      <c r="H325" s="2">
        <v>57.0</v>
      </c>
      <c r="I325" s="5" t="str">
        <f>IFERROR(VLOOKUP($C325, merchants!$A$2:$D$41, 2, FALSE), "Merchant not found")</f>
        <v>Merchant_005</v>
      </c>
      <c r="J325" s="5" t="str">
        <f>IFERROR(VLOOKUP($C325, merchants!$A$2:$D$41, 3, FALSE), "Merchant not found")</f>
        <v>recharge</v>
      </c>
      <c r="K325" s="5" t="str">
        <f>IFERROR(VLOOKUP($C325, merchants!$A$2:$D$41, 4, FALSE), "Merchant not found")</f>
        <v>South</v>
      </c>
      <c r="Q325" s="5">
        <f t="shared" si="1"/>
        <v>0.9</v>
      </c>
      <c r="R325" s="6">
        <f t="shared" si="2"/>
        <v>46025</v>
      </c>
      <c r="S325" s="5">
        <f t="shared" si="3"/>
        <v>499</v>
      </c>
      <c r="T325" s="5" t="str">
        <f t="shared" si="4"/>
        <v>Normal</v>
      </c>
    </row>
    <row r="326">
      <c r="A326" s="2" t="s">
        <v>443</v>
      </c>
      <c r="B326" s="2">
        <v>177.0</v>
      </c>
      <c r="C326" s="2">
        <v>9.0</v>
      </c>
      <c r="D326" s="4">
        <v>46037.89791666667</v>
      </c>
      <c r="E326" s="2">
        <v>99.0</v>
      </c>
      <c r="F326" s="2" t="s">
        <v>12</v>
      </c>
      <c r="G326" s="2" t="s">
        <v>23</v>
      </c>
      <c r="H326" s="2">
        <v>99.0</v>
      </c>
      <c r="I326" s="5" t="str">
        <f>IFERROR(VLOOKUP($C326, merchants!$A$2:$D$41, 2, FALSE), "Merchant not found")</f>
        <v>Merchant_009</v>
      </c>
      <c r="J326" s="5" t="str">
        <f>IFERROR(VLOOKUP($C326, merchants!$A$2:$D$41, 3, FALSE), "Merchant not found")</f>
        <v>ecommerce</v>
      </c>
      <c r="K326" s="5" t="str">
        <f>IFERROR(VLOOKUP($C326, merchants!$A$2:$D$41, 4, FALSE), "Merchant not found")</f>
        <v>North</v>
      </c>
      <c r="Q326" s="5">
        <f t="shared" si="1"/>
        <v>0.3</v>
      </c>
      <c r="R326" s="6">
        <f t="shared" si="2"/>
        <v>46037</v>
      </c>
      <c r="S326" s="5">
        <f t="shared" si="3"/>
        <v>148</v>
      </c>
      <c r="T326" s="5" t="str">
        <f t="shared" si="4"/>
        <v>Normal</v>
      </c>
    </row>
    <row r="327">
      <c r="A327" s="2" t="s">
        <v>444</v>
      </c>
      <c r="B327" s="2">
        <v>94.0</v>
      </c>
      <c r="C327" s="2">
        <v>9.0</v>
      </c>
      <c r="D327" s="4">
        <v>46040.85902777778</v>
      </c>
      <c r="E327" s="2">
        <v>299.0</v>
      </c>
      <c r="F327" s="2" t="s">
        <v>12</v>
      </c>
      <c r="G327" s="2" t="s">
        <v>23</v>
      </c>
      <c r="H327" s="2">
        <v>55.0</v>
      </c>
      <c r="I327" s="5" t="str">
        <f>IFERROR(VLOOKUP($C327, merchants!$A$2:$D$41, 2, FALSE), "Merchant not found")</f>
        <v>Merchant_009</v>
      </c>
      <c r="J327" s="5" t="str">
        <f>IFERROR(VLOOKUP($C327, merchants!$A$2:$D$41, 3, FALSE), "Merchant not found")</f>
        <v>ecommerce</v>
      </c>
      <c r="K327" s="5" t="str">
        <f>IFERROR(VLOOKUP($C327, merchants!$A$2:$D$41, 4, FALSE), "Merchant not found")</f>
        <v>North</v>
      </c>
      <c r="Q327" s="5">
        <f t="shared" si="1"/>
        <v>0.3</v>
      </c>
      <c r="R327" s="6">
        <f t="shared" si="2"/>
        <v>46040</v>
      </c>
      <c r="S327" s="5">
        <f t="shared" si="3"/>
        <v>299</v>
      </c>
      <c r="T327" s="5" t="str">
        <f t="shared" si="4"/>
        <v>Normal</v>
      </c>
    </row>
    <row r="328">
      <c r="A328" s="2" t="s">
        <v>445</v>
      </c>
      <c r="B328" s="2">
        <v>64.0</v>
      </c>
      <c r="C328" s="2">
        <v>34.0</v>
      </c>
      <c r="D328" s="4">
        <v>46039.07847222222</v>
      </c>
      <c r="E328" s="2">
        <v>299.0</v>
      </c>
      <c r="F328" s="2" t="s">
        <v>12</v>
      </c>
      <c r="G328" s="2" t="s">
        <v>23</v>
      </c>
      <c r="H328" s="2">
        <v>19.0</v>
      </c>
      <c r="I328" s="5" t="str">
        <f>IFERROR(VLOOKUP($C328, merchants!$A$2:$D$41, 2, FALSE), "Merchant not found")</f>
        <v>Merchant_034</v>
      </c>
      <c r="J328" s="5" t="str">
        <f>IFERROR(VLOOKUP($C328, merchants!$A$2:$D$41, 3, FALSE), "Merchant not found")</f>
        <v>travel</v>
      </c>
      <c r="K328" s="5" t="str">
        <f>IFERROR(VLOOKUP($C328, merchants!$A$2:$D$41, 4, FALSE), "Merchant not found")</f>
        <v>South</v>
      </c>
      <c r="Q328" s="5">
        <f t="shared" si="1"/>
        <v>0.3</v>
      </c>
      <c r="R328" s="6">
        <f t="shared" si="2"/>
        <v>46039</v>
      </c>
      <c r="S328" s="5">
        <f t="shared" si="3"/>
        <v>299</v>
      </c>
      <c r="T328" s="5" t="str">
        <f t="shared" si="4"/>
        <v>Normal</v>
      </c>
    </row>
    <row r="329">
      <c r="A329" s="2" t="s">
        <v>446</v>
      </c>
      <c r="B329" s="2">
        <v>166.0</v>
      </c>
      <c r="C329" s="2">
        <v>15.0</v>
      </c>
      <c r="D329" s="4">
        <v>46032.21527777778</v>
      </c>
      <c r="E329" s="2">
        <v>49.0</v>
      </c>
      <c r="F329" s="2" t="s">
        <v>12</v>
      </c>
      <c r="G329" s="2" t="s">
        <v>23</v>
      </c>
      <c r="H329" s="2">
        <v>44.0</v>
      </c>
      <c r="I329" s="5" t="str">
        <f>IFERROR(VLOOKUP($C329, merchants!$A$2:$D$41, 2, FALSE), "Merchant not found")</f>
        <v>Merchant_015</v>
      </c>
      <c r="J329" s="5" t="str">
        <f>IFERROR(VLOOKUP($C329, merchants!$A$2:$D$41, 3, FALSE), "Merchant not found")</f>
        <v>travel</v>
      </c>
      <c r="K329" s="5" t="str">
        <f>IFERROR(VLOOKUP($C329, merchants!$A$2:$D$41, 4, FALSE), "Merchant not found")</f>
        <v>North</v>
      </c>
      <c r="Q329" s="5">
        <f t="shared" si="1"/>
        <v>0.3</v>
      </c>
      <c r="R329" s="6">
        <f t="shared" si="2"/>
        <v>46032</v>
      </c>
      <c r="S329" s="5">
        <f t="shared" si="3"/>
        <v>49</v>
      </c>
      <c r="T329" s="5" t="str">
        <f t="shared" si="4"/>
        <v>Normal</v>
      </c>
    </row>
    <row r="330">
      <c r="A330" s="2" t="s">
        <v>447</v>
      </c>
      <c r="B330" s="2">
        <v>41.0</v>
      </c>
      <c r="C330" s="2">
        <v>17.0</v>
      </c>
      <c r="D330" s="4">
        <v>46039.4125</v>
      </c>
      <c r="E330" s="2">
        <v>299.0</v>
      </c>
      <c r="F330" s="2" t="s">
        <v>13</v>
      </c>
      <c r="G330" s="2" t="s">
        <v>23</v>
      </c>
      <c r="H330" s="2">
        <v>25.0</v>
      </c>
      <c r="I330" s="5" t="str">
        <f>IFERROR(VLOOKUP($C330, merchants!$A$2:$D$41, 2, FALSE), "Merchant not found")</f>
        <v>Merchant_017</v>
      </c>
      <c r="J330" s="5" t="str">
        <f>IFERROR(VLOOKUP($C330, merchants!$A$2:$D$41, 3, FALSE), "Merchant not found")</f>
        <v>grocery</v>
      </c>
      <c r="K330" s="5" t="str">
        <f>IFERROR(VLOOKUP($C330, merchants!$A$2:$D$41, 4, FALSE), "Merchant not found")</f>
        <v>North</v>
      </c>
      <c r="Q330" s="5">
        <f t="shared" si="1"/>
        <v>0.5</v>
      </c>
      <c r="R330" s="6">
        <f t="shared" si="2"/>
        <v>46039</v>
      </c>
      <c r="S330" s="5">
        <f t="shared" si="3"/>
        <v>299</v>
      </c>
      <c r="T330" s="5" t="str">
        <f t="shared" si="4"/>
        <v>Normal</v>
      </c>
    </row>
    <row r="331">
      <c r="A331" s="2" t="s">
        <v>448</v>
      </c>
      <c r="B331" s="2">
        <v>65.0</v>
      </c>
      <c r="C331" s="2">
        <v>20.0</v>
      </c>
      <c r="D331" s="4">
        <v>46043.720138888886</v>
      </c>
      <c r="E331" s="2">
        <v>99.0</v>
      </c>
      <c r="F331" s="2" t="s">
        <v>14</v>
      </c>
      <c r="G331" s="2" t="s">
        <v>23</v>
      </c>
      <c r="H331" s="2">
        <v>78.0</v>
      </c>
      <c r="I331" s="5" t="str">
        <f>IFERROR(VLOOKUP($C331, merchants!$A$2:$D$41, 2, FALSE), "Merchant not found")</f>
        <v>Merchant_020</v>
      </c>
      <c r="J331" s="5" t="str">
        <f>IFERROR(VLOOKUP($C331, merchants!$A$2:$D$41, 3, FALSE), "Merchant not found")</f>
        <v>food_delivery</v>
      </c>
      <c r="K331" s="5" t="str">
        <f>IFERROR(VLOOKUP($C331, merchants!$A$2:$D$41, 4, FALSE), "Merchant not found")</f>
        <v>East</v>
      </c>
      <c r="Q331" s="5">
        <f t="shared" si="1"/>
        <v>1.5</v>
      </c>
      <c r="R331" s="6">
        <f t="shared" si="2"/>
        <v>46043</v>
      </c>
      <c r="S331" s="5">
        <f t="shared" si="3"/>
        <v>99</v>
      </c>
      <c r="T331" s="5" t="str">
        <f t="shared" si="4"/>
        <v>Normal</v>
      </c>
    </row>
    <row r="332">
      <c r="A332" s="2" t="s">
        <v>449</v>
      </c>
      <c r="B332" s="2">
        <v>329.0</v>
      </c>
      <c r="C332" s="2">
        <v>11.0</v>
      </c>
      <c r="D332" s="4">
        <v>46040.10555555556</v>
      </c>
      <c r="E332" s="2">
        <v>499.0</v>
      </c>
      <c r="F332" s="2" t="s">
        <v>12</v>
      </c>
      <c r="G332" s="2" t="s">
        <v>23</v>
      </c>
      <c r="H332" s="2">
        <v>75.0</v>
      </c>
      <c r="I332" s="5" t="str">
        <f>IFERROR(VLOOKUP($C332, merchants!$A$2:$D$41, 2, FALSE), "Merchant not found")</f>
        <v>Merchant_011</v>
      </c>
      <c r="J332" s="5" t="str">
        <f>IFERROR(VLOOKUP($C332, merchants!$A$2:$D$41, 3, FALSE), "Merchant not found")</f>
        <v>ecommerce</v>
      </c>
      <c r="K332" s="5" t="str">
        <f>IFERROR(VLOOKUP($C332, merchants!$A$2:$D$41, 4, FALSE), "Merchant not found")</f>
        <v>North</v>
      </c>
      <c r="Q332" s="5">
        <f t="shared" si="1"/>
        <v>0.3</v>
      </c>
      <c r="R332" s="6">
        <f t="shared" si="2"/>
        <v>46040</v>
      </c>
      <c r="S332" s="5">
        <f t="shared" si="3"/>
        <v>499</v>
      </c>
      <c r="T332" s="5" t="str">
        <f t="shared" si="4"/>
        <v>Normal</v>
      </c>
    </row>
    <row r="333">
      <c r="A333" s="2" t="s">
        <v>450</v>
      </c>
      <c r="B333" s="2">
        <v>338.0</v>
      </c>
      <c r="C333" s="2">
        <v>40.0</v>
      </c>
      <c r="D333" s="4">
        <v>46041.17361111111</v>
      </c>
      <c r="E333" s="2">
        <v>149.0</v>
      </c>
      <c r="F333" s="2" t="s">
        <v>12</v>
      </c>
      <c r="G333" s="2" t="s">
        <v>23</v>
      </c>
      <c r="H333" s="2">
        <v>92.0</v>
      </c>
      <c r="I333" s="5" t="str">
        <f>IFERROR(VLOOKUP($C333, merchants!$A$2:$D$41, 2, FALSE), "Merchant not found")</f>
        <v>Merchant_040</v>
      </c>
      <c r="J333" s="5" t="str">
        <f>IFERROR(VLOOKUP($C333, merchants!$A$2:$D$41, 3, FALSE), "Merchant not found")</f>
        <v>entertainment</v>
      </c>
      <c r="K333" s="5" t="str">
        <f>IFERROR(VLOOKUP($C333, merchants!$A$2:$D$41, 4, FALSE), "Merchant not found")</f>
        <v>South</v>
      </c>
      <c r="Q333" s="5">
        <f t="shared" si="1"/>
        <v>0.3</v>
      </c>
      <c r="R333" s="6">
        <f t="shared" si="2"/>
        <v>46041</v>
      </c>
      <c r="S333" s="5">
        <f t="shared" si="3"/>
        <v>648</v>
      </c>
      <c r="T333" s="5" t="str">
        <f t="shared" si="4"/>
        <v>Normal</v>
      </c>
    </row>
    <row r="334">
      <c r="A334" s="2" t="s">
        <v>451</v>
      </c>
      <c r="B334" s="2">
        <v>289.0</v>
      </c>
      <c r="C334" s="2">
        <v>3.0</v>
      </c>
      <c r="D334" s="4">
        <v>46051.80625</v>
      </c>
      <c r="E334" s="2">
        <v>49.0</v>
      </c>
      <c r="F334" s="2" t="s">
        <v>15</v>
      </c>
      <c r="G334" s="2" t="s">
        <v>23</v>
      </c>
      <c r="H334" s="2">
        <v>3.0</v>
      </c>
      <c r="I334" s="5" t="str">
        <f>IFERROR(VLOOKUP($C334, merchants!$A$2:$D$41, 2, FALSE), "Merchant not found")</f>
        <v>Merchant_003</v>
      </c>
      <c r="J334" s="5" t="str">
        <f>IFERROR(VLOOKUP($C334, merchants!$A$2:$D$41, 3, FALSE), "Merchant not found")</f>
        <v>grocery</v>
      </c>
      <c r="K334" s="5" t="str">
        <f>IFERROR(VLOOKUP($C334, merchants!$A$2:$D$41, 4, FALSE), "Merchant not found")</f>
        <v>East</v>
      </c>
      <c r="Q334" s="5">
        <f t="shared" si="1"/>
        <v>0.9</v>
      </c>
      <c r="R334" s="6">
        <f t="shared" si="2"/>
        <v>46051</v>
      </c>
      <c r="S334" s="5">
        <f t="shared" si="3"/>
        <v>49</v>
      </c>
      <c r="T334" s="5" t="str">
        <f t="shared" si="4"/>
        <v>Normal</v>
      </c>
    </row>
    <row r="335">
      <c r="A335" s="2" t="s">
        <v>452</v>
      </c>
      <c r="B335" s="2">
        <v>296.0</v>
      </c>
      <c r="C335" s="2">
        <v>17.0</v>
      </c>
      <c r="D335" s="4">
        <v>46025.07013888889</v>
      </c>
      <c r="E335" s="2">
        <v>99.0</v>
      </c>
      <c r="F335" s="2" t="s">
        <v>12</v>
      </c>
      <c r="G335" s="2" t="s">
        <v>23</v>
      </c>
      <c r="H335" s="2">
        <v>83.0</v>
      </c>
      <c r="I335" s="5" t="str">
        <f>IFERROR(VLOOKUP($C335, merchants!$A$2:$D$41, 2, FALSE), "Merchant not found")</f>
        <v>Merchant_017</v>
      </c>
      <c r="J335" s="5" t="str">
        <f>IFERROR(VLOOKUP($C335, merchants!$A$2:$D$41, 3, FALSE), "Merchant not found")</f>
        <v>grocery</v>
      </c>
      <c r="K335" s="5" t="str">
        <f>IFERROR(VLOOKUP($C335, merchants!$A$2:$D$41, 4, FALSE), "Merchant not found")</f>
        <v>North</v>
      </c>
      <c r="Q335" s="5">
        <f t="shared" si="1"/>
        <v>0.3</v>
      </c>
      <c r="R335" s="6">
        <f t="shared" si="2"/>
        <v>46025</v>
      </c>
      <c r="S335" s="5">
        <f t="shared" si="3"/>
        <v>398</v>
      </c>
      <c r="T335" s="5" t="str">
        <f t="shared" si="4"/>
        <v>Normal</v>
      </c>
    </row>
    <row r="336">
      <c r="A336" s="2" t="s">
        <v>453</v>
      </c>
      <c r="B336" s="2">
        <v>317.0</v>
      </c>
      <c r="C336" s="2">
        <v>2.0</v>
      </c>
      <c r="D336" s="4">
        <v>46029.768055555556</v>
      </c>
      <c r="E336" s="2">
        <v>499.0</v>
      </c>
      <c r="F336" s="2" t="s">
        <v>14</v>
      </c>
      <c r="G336" s="2" t="s">
        <v>23</v>
      </c>
      <c r="H336" s="2">
        <v>63.0</v>
      </c>
      <c r="I336" s="5" t="str">
        <f>IFERROR(VLOOKUP($C336, merchants!$A$2:$D$41, 2, FALSE), "Merchant not found")</f>
        <v>Merchant_002</v>
      </c>
      <c r="J336" s="5" t="str">
        <f>IFERROR(VLOOKUP($C336, merchants!$A$2:$D$41, 3, FALSE), "Merchant not found")</f>
        <v>grocery</v>
      </c>
      <c r="K336" s="5" t="str">
        <f>IFERROR(VLOOKUP($C336, merchants!$A$2:$D$41, 4, FALSE), "Merchant not found")</f>
        <v>West</v>
      </c>
      <c r="Q336" s="5">
        <f t="shared" si="1"/>
        <v>1.5</v>
      </c>
      <c r="R336" s="6">
        <f t="shared" si="2"/>
        <v>46029</v>
      </c>
      <c r="S336" s="5">
        <f t="shared" si="3"/>
        <v>499</v>
      </c>
      <c r="T336" s="5" t="str">
        <f t="shared" si="4"/>
        <v>Normal</v>
      </c>
    </row>
    <row r="337">
      <c r="A337" s="2" t="s">
        <v>454</v>
      </c>
      <c r="B337" s="2">
        <v>149.0</v>
      </c>
      <c r="C337" s="2">
        <v>20.0</v>
      </c>
      <c r="D337" s="4">
        <v>46051.856944444444</v>
      </c>
      <c r="E337" s="2">
        <v>499.0</v>
      </c>
      <c r="F337" s="2" t="s">
        <v>14</v>
      </c>
      <c r="G337" s="2" t="s">
        <v>23</v>
      </c>
      <c r="H337" s="2">
        <v>61.0</v>
      </c>
      <c r="I337" s="5" t="str">
        <f>IFERROR(VLOOKUP($C337, merchants!$A$2:$D$41, 2, FALSE), "Merchant not found")</f>
        <v>Merchant_020</v>
      </c>
      <c r="J337" s="5" t="str">
        <f>IFERROR(VLOOKUP($C337, merchants!$A$2:$D$41, 3, FALSE), "Merchant not found")</f>
        <v>food_delivery</v>
      </c>
      <c r="K337" s="5" t="str">
        <f>IFERROR(VLOOKUP($C337, merchants!$A$2:$D$41, 4, FALSE), "Merchant not found")</f>
        <v>East</v>
      </c>
      <c r="Q337" s="5">
        <f t="shared" si="1"/>
        <v>1.5</v>
      </c>
      <c r="R337" s="6">
        <f t="shared" si="2"/>
        <v>46051</v>
      </c>
      <c r="S337" s="5">
        <f t="shared" si="3"/>
        <v>499</v>
      </c>
      <c r="T337" s="5" t="str">
        <f t="shared" si="4"/>
        <v>Normal</v>
      </c>
    </row>
    <row r="338">
      <c r="A338" s="2" t="s">
        <v>455</v>
      </c>
      <c r="B338" s="2">
        <v>153.0</v>
      </c>
      <c r="C338" s="2">
        <v>30.0</v>
      </c>
      <c r="D338" s="4">
        <v>46030.89236111111</v>
      </c>
      <c r="E338" s="2">
        <v>299.0</v>
      </c>
      <c r="F338" s="2" t="s">
        <v>12</v>
      </c>
      <c r="G338" s="2" t="s">
        <v>23</v>
      </c>
      <c r="H338" s="2">
        <v>9.0</v>
      </c>
      <c r="I338" s="5" t="str">
        <f>IFERROR(VLOOKUP($C338, merchants!$A$2:$D$41, 2, FALSE), "Merchant not found")</f>
        <v>Merchant_030</v>
      </c>
      <c r="J338" s="5" t="str">
        <f>IFERROR(VLOOKUP($C338, merchants!$A$2:$D$41, 3, FALSE), "Merchant not found")</f>
        <v>travel</v>
      </c>
      <c r="K338" s="5" t="str">
        <f>IFERROR(VLOOKUP($C338, merchants!$A$2:$D$41, 4, FALSE), "Merchant not found")</f>
        <v>West</v>
      </c>
      <c r="Q338" s="5">
        <f t="shared" si="1"/>
        <v>0.3</v>
      </c>
      <c r="R338" s="6">
        <f t="shared" si="2"/>
        <v>46030</v>
      </c>
      <c r="S338" s="5">
        <f t="shared" si="3"/>
        <v>1197</v>
      </c>
      <c r="T338" s="5" t="str">
        <f t="shared" si="4"/>
        <v>Normal</v>
      </c>
    </row>
    <row r="339">
      <c r="A339" s="2" t="s">
        <v>456</v>
      </c>
      <c r="B339" s="2">
        <v>226.0</v>
      </c>
      <c r="C339" s="2">
        <v>27.0</v>
      </c>
      <c r="D339" s="4">
        <v>46045.04861111111</v>
      </c>
      <c r="E339" s="2">
        <v>2999.0</v>
      </c>
      <c r="F339" s="2" t="s">
        <v>12</v>
      </c>
      <c r="G339" s="2" t="s">
        <v>69</v>
      </c>
      <c r="H339" s="2">
        <v>61.0</v>
      </c>
      <c r="I339" s="5" t="str">
        <f>IFERROR(VLOOKUP($C339, merchants!$A$2:$D$41, 2, FALSE), "Merchant not found")</f>
        <v>Merchant_027</v>
      </c>
      <c r="J339" s="5" t="str">
        <f>IFERROR(VLOOKUP($C339, merchants!$A$2:$D$41, 3, FALSE), "Merchant not found")</f>
        <v>ecommerce</v>
      </c>
      <c r="K339" s="5" t="str">
        <f>IFERROR(VLOOKUP($C339, merchants!$A$2:$D$41, 4, FALSE), "Merchant not found")</f>
        <v>North</v>
      </c>
      <c r="Q339" s="5">
        <f t="shared" si="1"/>
        <v>0.3</v>
      </c>
      <c r="R339" s="6">
        <f t="shared" si="2"/>
        <v>46045</v>
      </c>
      <c r="S339" s="5">
        <f t="shared" si="3"/>
        <v>3998</v>
      </c>
      <c r="T339" s="5" t="str">
        <f t="shared" si="4"/>
        <v>Normal</v>
      </c>
    </row>
    <row r="340">
      <c r="A340" s="2" t="s">
        <v>457</v>
      </c>
      <c r="B340" s="2">
        <v>311.0</v>
      </c>
      <c r="C340" s="2">
        <v>10.0</v>
      </c>
      <c r="D340" s="4">
        <v>46037.26458333333</v>
      </c>
      <c r="E340" s="2">
        <v>2999.0</v>
      </c>
      <c r="F340" s="2" t="s">
        <v>12</v>
      </c>
      <c r="G340" s="2" t="s">
        <v>23</v>
      </c>
      <c r="H340" s="2">
        <v>40.0</v>
      </c>
      <c r="I340" s="5" t="str">
        <f>IFERROR(VLOOKUP($C340, merchants!$A$2:$D$41, 2, FALSE), "Merchant not found")</f>
        <v>Merchant_010</v>
      </c>
      <c r="J340" s="5" t="str">
        <f>IFERROR(VLOOKUP($C340, merchants!$A$2:$D$41, 3, FALSE), "Merchant not found")</f>
        <v>grocery</v>
      </c>
      <c r="K340" s="5" t="str">
        <f>IFERROR(VLOOKUP($C340, merchants!$A$2:$D$41, 4, FALSE), "Merchant not found")</f>
        <v>West</v>
      </c>
      <c r="Q340" s="5">
        <f t="shared" si="1"/>
        <v>0.3</v>
      </c>
      <c r="R340" s="6">
        <f t="shared" si="2"/>
        <v>46037</v>
      </c>
      <c r="S340" s="5">
        <f t="shared" si="3"/>
        <v>2999</v>
      </c>
      <c r="T340" s="5" t="str">
        <f t="shared" si="4"/>
        <v>Normal</v>
      </c>
    </row>
    <row r="341">
      <c r="A341" s="2" t="s">
        <v>458</v>
      </c>
      <c r="B341" s="2">
        <v>177.0</v>
      </c>
      <c r="C341" s="2">
        <v>26.0</v>
      </c>
      <c r="D341" s="4">
        <v>46050.930555555555</v>
      </c>
      <c r="E341" s="2">
        <v>1499.0</v>
      </c>
      <c r="F341" s="2" t="s">
        <v>12</v>
      </c>
      <c r="G341" s="2" t="s">
        <v>23</v>
      </c>
      <c r="H341" s="2">
        <v>16.0</v>
      </c>
      <c r="I341" s="5" t="str">
        <f>IFERROR(VLOOKUP($C341, merchants!$A$2:$D$41, 2, FALSE), "Merchant not found")</f>
        <v>Merchant_026</v>
      </c>
      <c r="J341" s="5" t="str">
        <f>IFERROR(VLOOKUP($C341, merchants!$A$2:$D$41, 3, FALSE), "Merchant not found")</f>
        <v>food_delivery</v>
      </c>
      <c r="K341" s="5" t="str">
        <f>IFERROR(VLOOKUP($C341, merchants!$A$2:$D$41, 4, FALSE), "Merchant not found")</f>
        <v>East</v>
      </c>
      <c r="Q341" s="5">
        <f t="shared" si="1"/>
        <v>0.3</v>
      </c>
      <c r="R341" s="6">
        <f t="shared" si="2"/>
        <v>46050</v>
      </c>
      <c r="S341" s="5">
        <f t="shared" si="3"/>
        <v>1499</v>
      </c>
      <c r="T341" s="5" t="str">
        <f t="shared" si="4"/>
        <v>Normal</v>
      </c>
    </row>
    <row r="342">
      <c r="A342" s="2" t="s">
        <v>459</v>
      </c>
      <c r="B342" s="2">
        <v>288.0</v>
      </c>
      <c r="C342" s="2">
        <v>7.0</v>
      </c>
      <c r="D342" s="4">
        <v>46047.48055555556</v>
      </c>
      <c r="E342" s="2">
        <v>99.0</v>
      </c>
      <c r="F342" s="2" t="s">
        <v>15</v>
      </c>
      <c r="G342" s="2" t="s">
        <v>23</v>
      </c>
      <c r="H342" s="2">
        <v>40.0</v>
      </c>
      <c r="I342" s="5" t="str">
        <f>IFERROR(VLOOKUP($C342, merchants!$A$2:$D$41, 2, FALSE), "Merchant not found")</f>
        <v>Merchant_007</v>
      </c>
      <c r="J342" s="5" t="str">
        <f>IFERROR(VLOOKUP($C342, merchants!$A$2:$D$41, 3, FALSE), "Merchant not found")</f>
        <v>food_delivery</v>
      </c>
      <c r="K342" s="5" t="str">
        <f>IFERROR(VLOOKUP($C342, merchants!$A$2:$D$41, 4, FALSE), "Merchant not found")</f>
        <v>East</v>
      </c>
      <c r="Q342" s="5">
        <f t="shared" si="1"/>
        <v>0.9</v>
      </c>
      <c r="R342" s="6">
        <f t="shared" si="2"/>
        <v>46047</v>
      </c>
      <c r="S342" s="5">
        <f t="shared" si="3"/>
        <v>99</v>
      </c>
      <c r="T342" s="5" t="str">
        <f t="shared" si="4"/>
        <v>Normal</v>
      </c>
    </row>
    <row r="343">
      <c r="A343" s="2" t="s">
        <v>460</v>
      </c>
      <c r="B343" s="2">
        <v>137.0</v>
      </c>
      <c r="C343" s="2">
        <v>29.0</v>
      </c>
      <c r="D343" s="4">
        <v>46030.58819444444</v>
      </c>
      <c r="E343" s="2">
        <v>2999.0</v>
      </c>
      <c r="F343" s="2" t="s">
        <v>12</v>
      </c>
      <c r="G343" s="2" t="s">
        <v>61</v>
      </c>
      <c r="H343" s="2">
        <v>31.0</v>
      </c>
      <c r="I343" s="5" t="str">
        <f>IFERROR(VLOOKUP($C343, merchants!$A$2:$D$41, 2, FALSE), "Merchant not found")</f>
        <v>Merchant_029</v>
      </c>
      <c r="J343" s="5" t="str">
        <f>IFERROR(VLOOKUP($C343, merchants!$A$2:$D$41, 3, FALSE), "Merchant not found")</f>
        <v>ecommerce</v>
      </c>
      <c r="K343" s="5" t="str">
        <f>IFERROR(VLOOKUP($C343, merchants!$A$2:$D$41, 4, FALSE), "Merchant not found")</f>
        <v>North</v>
      </c>
      <c r="Q343" s="5">
        <f t="shared" si="1"/>
        <v>0.3</v>
      </c>
      <c r="R343" s="6">
        <f t="shared" si="2"/>
        <v>46030</v>
      </c>
      <c r="S343" s="5">
        <f t="shared" si="3"/>
        <v>2999</v>
      </c>
      <c r="T343" s="5" t="str">
        <f t="shared" si="4"/>
        <v>Normal</v>
      </c>
    </row>
    <row r="344">
      <c r="A344" s="2" t="s">
        <v>461</v>
      </c>
      <c r="B344" s="2">
        <v>149.0</v>
      </c>
      <c r="C344" s="2">
        <v>25.0</v>
      </c>
      <c r="D344" s="4">
        <v>46027.12708333333</v>
      </c>
      <c r="E344" s="2">
        <v>1499.0</v>
      </c>
      <c r="F344" s="2" t="s">
        <v>12</v>
      </c>
      <c r="G344" s="2" t="s">
        <v>23</v>
      </c>
      <c r="H344" s="2">
        <v>78.0</v>
      </c>
      <c r="I344" s="5" t="str">
        <f>IFERROR(VLOOKUP($C344, merchants!$A$2:$D$41, 2, FALSE), "Merchant not found")</f>
        <v>Merchant_025</v>
      </c>
      <c r="J344" s="5" t="str">
        <f>IFERROR(VLOOKUP($C344, merchants!$A$2:$D$41, 3, FALSE), "Merchant not found")</f>
        <v>travel</v>
      </c>
      <c r="K344" s="5" t="str">
        <f>IFERROR(VLOOKUP($C344, merchants!$A$2:$D$41, 4, FALSE), "Merchant not found")</f>
        <v>South</v>
      </c>
      <c r="Q344" s="5">
        <f t="shared" si="1"/>
        <v>0.3</v>
      </c>
      <c r="R344" s="6">
        <f t="shared" si="2"/>
        <v>46027</v>
      </c>
      <c r="S344" s="5">
        <f t="shared" si="3"/>
        <v>4498</v>
      </c>
      <c r="T344" s="5" t="str">
        <f t="shared" si="4"/>
        <v>Normal</v>
      </c>
    </row>
    <row r="345">
      <c r="A345" s="2" t="s">
        <v>462</v>
      </c>
      <c r="B345" s="2">
        <v>82.0</v>
      </c>
      <c r="C345" s="2">
        <v>21.0</v>
      </c>
      <c r="D345" s="4">
        <v>46036.32986111111</v>
      </c>
      <c r="E345" s="2">
        <v>49.0</v>
      </c>
      <c r="F345" s="2" t="s">
        <v>13</v>
      </c>
      <c r="G345" s="2" t="s">
        <v>23</v>
      </c>
      <c r="H345" s="2">
        <v>73.0</v>
      </c>
      <c r="I345" s="5" t="str">
        <f>IFERROR(VLOOKUP($C345, merchants!$A$2:$D$41, 2, FALSE), "Merchant not found")</f>
        <v>Merchant_021</v>
      </c>
      <c r="J345" s="5" t="str">
        <f>IFERROR(VLOOKUP($C345, merchants!$A$2:$D$41, 3, FALSE), "Merchant not found")</f>
        <v>food_delivery</v>
      </c>
      <c r="K345" s="5" t="str">
        <f>IFERROR(VLOOKUP($C345, merchants!$A$2:$D$41, 4, FALSE), "Merchant not found")</f>
        <v>East</v>
      </c>
      <c r="Q345" s="5">
        <f t="shared" si="1"/>
        <v>0.5</v>
      </c>
      <c r="R345" s="6">
        <f t="shared" si="2"/>
        <v>46036</v>
      </c>
      <c r="S345" s="5">
        <f t="shared" si="3"/>
        <v>49</v>
      </c>
      <c r="T345" s="5" t="str">
        <f t="shared" si="4"/>
        <v>Normal</v>
      </c>
    </row>
    <row r="346">
      <c r="A346" s="2" t="s">
        <v>463</v>
      </c>
      <c r="B346" s="2">
        <v>82.0</v>
      </c>
      <c r="C346" s="2">
        <v>32.0</v>
      </c>
      <c r="D346" s="4">
        <v>46046.425</v>
      </c>
      <c r="E346" s="2">
        <v>49.0</v>
      </c>
      <c r="F346" s="2" t="s">
        <v>12</v>
      </c>
      <c r="G346" s="2" t="s">
        <v>23</v>
      </c>
      <c r="H346" s="2">
        <v>65.0</v>
      </c>
      <c r="I346" s="5" t="str">
        <f>IFERROR(VLOOKUP($C346, merchants!$A$2:$D$41, 2, FALSE), "Merchant not found")</f>
        <v>Merchant_032</v>
      </c>
      <c r="J346" s="5" t="str">
        <f>IFERROR(VLOOKUP($C346, merchants!$A$2:$D$41, 3, FALSE), "Merchant not found")</f>
        <v>food_delivery</v>
      </c>
      <c r="K346" s="5" t="str">
        <f>IFERROR(VLOOKUP($C346, merchants!$A$2:$D$41, 4, FALSE), "Merchant not found")</f>
        <v>West</v>
      </c>
      <c r="Q346" s="5">
        <f t="shared" si="1"/>
        <v>0.3</v>
      </c>
      <c r="R346" s="6">
        <f t="shared" si="2"/>
        <v>46046</v>
      </c>
      <c r="S346" s="5">
        <f t="shared" si="3"/>
        <v>49</v>
      </c>
      <c r="T346" s="5" t="str">
        <f t="shared" si="4"/>
        <v>Normal</v>
      </c>
    </row>
    <row r="347">
      <c r="A347" s="2" t="s">
        <v>464</v>
      </c>
      <c r="B347" s="2">
        <v>158.0</v>
      </c>
      <c r="C347" s="2">
        <v>32.0</v>
      </c>
      <c r="D347" s="4">
        <v>46037.66388888889</v>
      </c>
      <c r="E347" s="2">
        <v>99.0</v>
      </c>
      <c r="F347" s="2" t="s">
        <v>13</v>
      </c>
      <c r="G347" s="2" t="s">
        <v>23</v>
      </c>
      <c r="H347" s="2">
        <v>2.0</v>
      </c>
      <c r="I347" s="5" t="str">
        <f>IFERROR(VLOOKUP($C347, merchants!$A$2:$D$41, 2, FALSE), "Merchant not found")</f>
        <v>Merchant_032</v>
      </c>
      <c r="J347" s="5" t="str">
        <f>IFERROR(VLOOKUP($C347, merchants!$A$2:$D$41, 3, FALSE), "Merchant not found")</f>
        <v>food_delivery</v>
      </c>
      <c r="K347" s="5" t="str">
        <f>IFERROR(VLOOKUP($C347, merchants!$A$2:$D$41, 4, FALSE), "Merchant not found")</f>
        <v>West</v>
      </c>
      <c r="Q347" s="5">
        <f t="shared" si="1"/>
        <v>0.5</v>
      </c>
      <c r="R347" s="6">
        <f t="shared" si="2"/>
        <v>46037</v>
      </c>
      <c r="S347" s="5">
        <f t="shared" si="3"/>
        <v>148</v>
      </c>
      <c r="T347" s="5" t="str">
        <f t="shared" si="4"/>
        <v>Normal</v>
      </c>
    </row>
    <row r="348">
      <c r="A348" s="2" t="s">
        <v>465</v>
      </c>
      <c r="B348" s="2">
        <v>235.0</v>
      </c>
      <c r="C348" s="2">
        <v>16.0</v>
      </c>
      <c r="D348" s="4">
        <v>46025.52222222222</v>
      </c>
      <c r="E348" s="2">
        <v>99.0</v>
      </c>
      <c r="F348" s="2" t="s">
        <v>12</v>
      </c>
      <c r="G348" s="2" t="s">
        <v>23</v>
      </c>
      <c r="H348" s="2">
        <v>27.0</v>
      </c>
      <c r="I348" s="5" t="str">
        <f>IFERROR(VLOOKUP($C348, merchants!$A$2:$D$41, 2, FALSE), "Merchant not found")</f>
        <v>Merchant_016</v>
      </c>
      <c r="J348" s="5" t="str">
        <f>IFERROR(VLOOKUP($C348, merchants!$A$2:$D$41, 3, FALSE), "Merchant not found")</f>
        <v>bill_payment</v>
      </c>
      <c r="K348" s="5" t="str">
        <f>IFERROR(VLOOKUP($C348, merchants!$A$2:$D$41, 4, FALSE), "Merchant not found")</f>
        <v>West</v>
      </c>
      <c r="Q348" s="5">
        <f t="shared" si="1"/>
        <v>0.3</v>
      </c>
      <c r="R348" s="6">
        <f t="shared" si="2"/>
        <v>46025</v>
      </c>
      <c r="S348" s="5">
        <f t="shared" si="3"/>
        <v>99</v>
      </c>
      <c r="T348" s="5" t="str">
        <f t="shared" si="4"/>
        <v>Normal</v>
      </c>
    </row>
    <row r="349">
      <c r="A349" s="2" t="s">
        <v>466</v>
      </c>
      <c r="B349" s="2">
        <v>26.0</v>
      </c>
      <c r="C349" s="2">
        <v>19.0</v>
      </c>
      <c r="D349" s="4">
        <v>46041.46041666667</v>
      </c>
      <c r="E349" s="2">
        <v>99.0</v>
      </c>
      <c r="F349" s="2" t="s">
        <v>13</v>
      </c>
      <c r="G349" s="2" t="s">
        <v>23</v>
      </c>
      <c r="H349" s="2">
        <v>63.0</v>
      </c>
      <c r="I349" s="5" t="str">
        <f>IFERROR(VLOOKUP($C349, merchants!$A$2:$D$41, 2, FALSE), "Merchant not found")</f>
        <v>Merchant_019</v>
      </c>
      <c r="J349" s="5" t="str">
        <f>IFERROR(VLOOKUP($C349, merchants!$A$2:$D$41, 3, FALSE), "Merchant not found")</f>
        <v>grocery</v>
      </c>
      <c r="K349" s="5" t="str">
        <f>IFERROR(VLOOKUP($C349, merchants!$A$2:$D$41, 4, FALSE), "Merchant not found")</f>
        <v>North</v>
      </c>
      <c r="Q349" s="5">
        <f t="shared" si="1"/>
        <v>0.5</v>
      </c>
      <c r="R349" s="6">
        <f t="shared" si="2"/>
        <v>46041</v>
      </c>
      <c r="S349" s="5">
        <f t="shared" si="3"/>
        <v>99</v>
      </c>
      <c r="T349" s="5" t="str">
        <f t="shared" si="4"/>
        <v>Normal</v>
      </c>
    </row>
    <row r="350">
      <c r="A350" s="2" t="s">
        <v>467</v>
      </c>
      <c r="B350" s="2">
        <v>241.0</v>
      </c>
      <c r="C350" s="2">
        <v>19.0</v>
      </c>
      <c r="D350" s="4">
        <v>46042.86319444444</v>
      </c>
      <c r="E350" s="2">
        <v>299.0</v>
      </c>
      <c r="F350" s="2" t="s">
        <v>12</v>
      </c>
      <c r="G350" s="2" t="s">
        <v>23</v>
      </c>
      <c r="H350" s="2">
        <v>68.0</v>
      </c>
      <c r="I350" s="5" t="str">
        <f>IFERROR(VLOOKUP($C350, merchants!$A$2:$D$41, 2, FALSE), "Merchant not found")</f>
        <v>Merchant_019</v>
      </c>
      <c r="J350" s="5" t="str">
        <f>IFERROR(VLOOKUP($C350, merchants!$A$2:$D$41, 3, FALSE), "Merchant not found")</f>
        <v>grocery</v>
      </c>
      <c r="K350" s="5" t="str">
        <f>IFERROR(VLOOKUP($C350, merchants!$A$2:$D$41, 4, FALSE), "Merchant not found")</f>
        <v>North</v>
      </c>
      <c r="Q350" s="5">
        <f t="shared" si="1"/>
        <v>0.3</v>
      </c>
      <c r="R350" s="6">
        <f t="shared" si="2"/>
        <v>46042</v>
      </c>
      <c r="S350" s="5">
        <f t="shared" si="3"/>
        <v>348</v>
      </c>
      <c r="T350" s="5" t="str">
        <f t="shared" si="4"/>
        <v>Normal</v>
      </c>
    </row>
    <row r="351">
      <c r="A351" s="2" t="s">
        <v>468</v>
      </c>
      <c r="B351" s="2">
        <v>69.0</v>
      </c>
      <c r="C351" s="2">
        <v>17.0</v>
      </c>
      <c r="D351" s="4">
        <v>46023.14375</v>
      </c>
      <c r="E351" s="2">
        <v>1499.0</v>
      </c>
      <c r="F351" s="2" t="s">
        <v>12</v>
      </c>
      <c r="G351" s="2" t="s">
        <v>23</v>
      </c>
      <c r="H351" s="2">
        <v>93.0</v>
      </c>
      <c r="I351" s="5" t="str">
        <f>IFERROR(VLOOKUP($C351, merchants!$A$2:$D$41, 2, FALSE), "Merchant not found")</f>
        <v>Merchant_017</v>
      </c>
      <c r="J351" s="5" t="str">
        <f>IFERROR(VLOOKUP($C351, merchants!$A$2:$D$41, 3, FALSE), "Merchant not found")</f>
        <v>grocery</v>
      </c>
      <c r="K351" s="5" t="str">
        <f>IFERROR(VLOOKUP($C351, merchants!$A$2:$D$41, 4, FALSE), "Merchant not found")</f>
        <v>North</v>
      </c>
      <c r="Q351" s="5">
        <f t="shared" si="1"/>
        <v>0.3</v>
      </c>
      <c r="R351" s="6">
        <f t="shared" si="2"/>
        <v>46023</v>
      </c>
      <c r="S351" s="5">
        <f t="shared" si="3"/>
        <v>1499</v>
      </c>
      <c r="T351" s="5" t="str">
        <f t="shared" si="4"/>
        <v>Normal</v>
      </c>
    </row>
    <row r="352">
      <c r="A352" s="2" t="s">
        <v>469</v>
      </c>
      <c r="B352" s="2">
        <v>24.0</v>
      </c>
      <c r="C352" s="2">
        <v>26.0</v>
      </c>
      <c r="D352" s="4">
        <v>46034.51597222222</v>
      </c>
      <c r="E352" s="2">
        <v>299.0</v>
      </c>
      <c r="F352" s="2" t="s">
        <v>15</v>
      </c>
      <c r="G352" s="2" t="s">
        <v>23</v>
      </c>
      <c r="H352" s="2">
        <v>6.0</v>
      </c>
      <c r="I352" s="5" t="str">
        <f>IFERROR(VLOOKUP($C352, merchants!$A$2:$D$41, 2, FALSE), "Merchant not found")</f>
        <v>Merchant_026</v>
      </c>
      <c r="J352" s="5" t="str">
        <f>IFERROR(VLOOKUP($C352, merchants!$A$2:$D$41, 3, FALSE), "Merchant not found")</f>
        <v>food_delivery</v>
      </c>
      <c r="K352" s="5" t="str">
        <f>IFERROR(VLOOKUP($C352, merchants!$A$2:$D$41, 4, FALSE), "Merchant not found")</f>
        <v>East</v>
      </c>
      <c r="Q352" s="5">
        <f t="shared" si="1"/>
        <v>0.9</v>
      </c>
      <c r="R352" s="6">
        <f t="shared" si="2"/>
        <v>46034</v>
      </c>
      <c r="S352" s="5">
        <f t="shared" si="3"/>
        <v>299</v>
      </c>
      <c r="T352" s="5" t="str">
        <f t="shared" si="4"/>
        <v>Normal</v>
      </c>
    </row>
    <row r="353">
      <c r="A353" s="2" t="s">
        <v>470</v>
      </c>
      <c r="B353" s="2">
        <v>186.0</v>
      </c>
      <c r="C353" s="2">
        <v>36.0</v>
      </c>
      <c r="D353" s="4">
        <v>46041.71666666667</v>
      </c>
      <c r="E353" s="2">
        <v>4999.0</v>
      </c>
      <c r="F353" s="2" t="s">
        <v>12</v>
      </c>
      <c r="G353" s="2" t="s">
        <v>23</v>
      </c>
      <c r="H353" s="2">
        <v>36.0</v>
      </c>
      <c r="I353" s="5" t="str">
        <f>IFERROR(VLOOKUP($C353, merchants!$A$2:$D$41, 2, FALSE), "Merchant not found")</f>
        <v>Merchant_036</v>
      </c>
      <c r="J353" s="5" t="str">
        <f>IFERROR(VLOOKUP($C353, merchants!$A$2:$D$41, 3, FALSE), "Merchant not found")</f>
        <v>entertainment</v>
      </c>
      <c r="K353" s="5" t="str">
        <f>IFERROR(VLOOKUP($C353, merchants!$A$2:$D$41, 4, FALSE), "Merchant not found")</f>
        <v>East</v>
      </c>
      <c r="Q353" s="5">
        <f t="shared" si="1"/>
        <v>0.3</v>
      </c>
      <c r="R353" s="6">
        <f t="shared" si="2"/>
        <v>46041</v>
      </c>
      <c r="S353" s="5">
        <f t="shared" si="3"/>
        <v>4999</v>
      </c>
      <c r="T353" s="5" t="str">
        <f t="shared" si="4"/>
        <v>Normal</v>
      </c>
    </row>
    <row r="354">
      <c r="A354" s="2" t="s">
        <v>471</v>
      </c>
      <c r="B354" s="2">
        <v>231.0</v>
      </c>
      <c r="C354" s="2">
        <v>36.0</v>
      </c>
      <c r="D354" s="4">
        <v>46025.52222222222</v>
      </c>
      <c r="E354" s="2">
        <v>149.0</v>
      </c>
      <c r="F354" s="2" t="s">
        <v>12</v>
      </c>
      <c r="G354" s="2" t="s">
        <v>23</v>
      </c>
      <c r="H354" s="2">
        <v>35.0</v>
      </c>
      <c r="I354" s="5" t="str">
        <f>IFERROR(VLOOKUP($C354, merchants!$A$2:$D$41, 2, FALSE), "Merchant not found")</f>
        <v>Merchant_036</v>
      </c>
      <c r="J354" s="5" t="str">
        <f>IFERROR(VLOOKUP($C354, merchants!$A$2:$D$41, 3, FALSE), "Merchant not found")</f>
        <v>entertainment</v>
      </c>
      <c r="K354" s="5" t="str">
        <f>IFERROR(VLOOKUP($C354, merchants!$A$2:$D$41, 4, FALSE), "Merchant not found")</f>
        <v>East</v>
      </c>
      <c r="Q354" s="5">
        <f t="shared" si="1"/>
        <v>0.3</v>
      </c>
      <c r="R354" s="6">
        <f t="shared" si="2"/>
        <v>46025</v>
      </c>
      <c r="S354" s="5">
        <f t="shared" si="3"/>
        <v>248</v>
      </c>
      <c r="T354" s="5" t="str">
        <f t="shared" si="4"/>
        <v>Normal</v>
      </c>
    </row>
    <row r="355">
      <c r="A355" s="2" t="s">
        <v>472</v>
      </c>
      <c r="B355" s="2">
        <v>313.0</v>
      </c>
      <c r="C355" s="2">
        <v>8.0</v>
      </c>
      <c r="D355" s="4">
        <v>46049.82152777778</v>
      </c>
      <c r="E355" s="2">
        <v>1499.0</v>
      </c>
      <c r="F355" s="2" t="s">
        <v>15</v>
      </c>
      <c r="G355" s="2" t="s">
        <v>23</v>
      </c>
      <c r="H355" s="2">
        <v>16.0</v>
      </c>
      <c r="I355" s="5" t="str">
        <f>IFERROR(VLOOKUP($C355, merchants!$A$2:$D$41, 2, FALSE), "Merchant not found")</f>
        <v>Merchant_008</v>
      </c>
      <c r="J355" s="5" t="str">
        <f>IFERROR(VLOOKUP($C355, merchants!$A$2:$D$41, 3, FALSE), "Merchant not found")</f>
        <v>food_delivery</v>
      </c>
      <c r="K355" s="5" t="str">
        <f>IFERROR(VLOOKUP($C355, merchants!$A$2:$D$41, 4, FALSE), "Merchant not found")</f>
        <v>North</v>
      </c>
      <c r="Q355" s="5">
        <f t="shared" si="1"/>
        <v>0.9</v>
      </c>
      <c r="R355" s="6">
        <f t="shared" si="2"/>
        <v>46049</v>
      </c>
      <c r="S355" s="5">
        <f t="shared" si="3"/>
        <v>1499</v>
      </c>
      <c r="T355" s="5" t="str">
        <f t="shared" si="4"/>
        <v>Normal</v>
      </c>
    </row>
    <row r="356">
      <c r="A356" s="2" t="s">
        <v>473</v>
      </c>
      <c r="B356" s="2">
        <v>174.0</v>
      </c>
      <c r="C356" s="2">
        <v>36.0</v>
      </c>
      <c r="D356" s="4">
        <v>46026.51597222222</v>
      </c>
      <c r="E356" s="2">
        <v>149.0</v>
      </c>
      <c r="F356" s="2" t="s">
        <v>12</v>
      </c>
      <c r="G356" s="2" t="s">
        <v>23</v>
      </c>
      <c r="H356" s="2">
        <v>46.0</v>
      </c>
      <c r="I356" s="5" t="str">
        <f>IFERROR(VLOOKUP($C356, merchants!$A$2:$D$41, 2, FALSE), "Merchant not found")</f>
        <v>Merchant_036</v>
      </c>
      <c r="J356" s="5" t="str">
        <f>IFERROR(VLOOKUP($C356, merchants!$A$2:$D$41, 3, FALSE), "Merchant not found")</f>
        <v>entertainment</v>
      </c>
      <c r="K356" s="5" t="str">
        <f>IFERROR(VLOOKUP($C356, merchants!$A$2:$D$41, 4, FALSE), "Merchant not found")</f>
        <v>East</v>
      </c>
      <c r="Q356" s="5">
        <f t="shared" si="1"/>
        <v>0.3</v>
      </c>
      <c r="R356" s="6">
        <f t="shared" si="2"/>
        <v>46026</v>
      </c>
      <c r="S356" s="5">
        <f t="shared" si="3"/>
        <v>149</v>
      </c>
      <c r="T356" s="5" t="str">
        <f t="shared" si="4"/>
        <v>Normal</v>
      </c>
    </row>
    <row r="357">
      <c r="A357" s="2" t="s">
        <v>474</v>
      </c>
      <c r="B357" s="2">
        <v>309.0</v>
      </c>
      <c r="C357" s="2">
        <v>33.0</v>
      </c>
      <c r="D357" s="4">
        <v>46047.175</v>
      </c>
      <c r="E357" s="2">
        <v>99.0</v>
      </c>
      <c r="F357" s="2" t="s">
        <v>12</v>
      </c>
      <c r="G357" s="2" t="s">
        <v>23</v>
      </c>
      <c r="H357" s="2">
        <v>51.0</v>
      </c>
      <c r="I357" s="5" t="str">
        <f>IFERROR(VLOOKUP($C357, merchants!$A$2:$D$41, 2, FALSE), "Merchant not found")</f>
        <v>Merchant_033</v>
      </c>
      <c r="J357" s="5" t="str">
        <f>IFERROR(VLOOKUP($C357, merchants!$A$2:$D$41, 3, FALSE), "Merchant not found")</f>
        <v>bill_payment</v>
      </c>
      <c r="K357" s="5" t="str">
        <f>IFERROR(VLOOKUP($C357, merchants!$A$2:$D$41, 4, FALSE), "Merchant not found")</f>
        <v>East</v>
      </c>
      <c r="Q357" s="5">
        <f t="shared" si="1"/>
        <v>0.3</v>
      </c>
      <c r="R357" s="6">
        <f t="shared" si="2"/>
        <v>46047</v>
      </c>
      <c r="S357" s="5">
        <f t="shared" si="3"/>
        <v>99</v>
      </c>
      <c r="T357" s="5" t="str">
        <f t="shared" si="4"/>
        <v>Normal</v>
      </c>
    </row>
    <row r="358">
      <c r="A358" s="2" t="s">
        <v>475</v>
      </c>
      <c r="B358" s="2">
        <v>20.0</v>
      </c>
      <c r="C358" s="2">
        <v>9.0</v>
      </c>
      <c r="D358" s="4">
        <v>46039.04305555556</v>
      </c>
      <c r="E358" s="2">
        <v>99.0</v>
      </c>
      <c r="F358" s="2" t="s">
        <v>12</v>
      </c>
      <c r="G358" s="2" t="s">
        <v>23</v>
      </c>
      <c r="H358" s="2">
        <v>91.0</v>
      </c>
      <c r="I358" s="5" t="str">
        <f>IFERROR(VLOOKUP($C358, merchants!$A$2:$D$41, 2, FALSE), "Merchant not found")</f>
        <v>Merchant_009</v>
      </c>
      <c r="J358" s="5" t="str">
        <f>IFERROR(VLOOKUP($C358, merchants!$A$2:$D$41, 3, FALSE), "Merchant not found")</f>
        <v>ecommerce</v>
      </c>
      <c r="K358" s="5" t="str">
        <f>IFERROR(VLOOKUP($C358, merchants!$A$2:$D$41, 4, FALSE), "Merchant not found")</f>
        <v>North</v>
      </c>
      <c r="Q358" s="5">
        <f t="shared" si="1"/>
        <v>0.3</v>
      </c>
      <c r="R358" s="6">
        <f t="shared" si="2"/>
        <v>46039</v>
      </c>
      <c r="S358" s="5">
        <f t="shared" si="3"/>
        <v>248</v>
      </c>
      <c r="T358" s="5" t="str">
        <f t="shared" si="4"/>
        <v>Normal</v>
      </c>
    </row>
    <row r="359">
      <c r="A359" s="2" t="s">
        <v>476</v>
      </c>
      <c r="B359" s="2">
        <v>234.0</v>
      </c>
      <c r="C359" s="2">
        <v>10.0</v>
      </c>
      <c r="D359" s="4">
        <v>46033.64791666667</v>
      </c>
      <c r="E359" s="2">
        <v>49.0</v>
      </c>
      <c r="F359" s="2" t="s">
        <v>12</v>
      </c>
      <c r="G359" s="2" t="s">
        <v>23</v>
      </c>
      <c r="H359" s="2">
        <v>77.0</v>
      </c>
      <c r="I359" s="5" t="str">
        <f>IFERROR(VLOOKUP($C359, merchants!$A$2:$D$41, 2, FALSE), "Merchant not found")</f>
        <v>Merchant_010</v>
      </c>
      <c r="J359" s="5" t="str">
        <f>IFERROR(VLOOKUP($C359, merchants!$A$2:$D$41, 3, FALSE), "Merchant not found")</f>
        <v>grocery</v>
      </c>
      <c r="K359" s="5" t="str">
        <f>IFERROR(VLOOKUP($C359, merchants!$A$2:$D$41, 4, FALSE), "Merchant not found")</f>
        <v>West</v>
      </c>
      <c r="Q359" s="5">
        <f t="shared" si="1"/>
        <v>0.3</v>
      </c>
      <c r="R359" s="6">
        <f t="shared" si="2"/>
        <v>46033</v>
      </c>
      <c r="S359" s="5">
        <f t="shared" si="3"/>
        <v>98</v>
      </c>
      <c r="T359" s="5" t="str">
        <f t="shared" si="4"/>
        <v>Normal</v>
      </c>
    </row>
    <row r="360">
      <c r="A360" s="2" t="s">
        <v>477</v>
      </c>
      <c r="B360" s="2">
        <v>168.0</v>
      </c>
      <c r="C360" s="2">
        <v>40.0</v>
      </c>
      <c r="D360" s="4">
        <v>46051.67222222222</v>
      </c>
      <c r="E360" s="2">
        <v>149.0</v>
      </c>
      <c r="F360" s="2" t="s">
        <v>12</v>
      </c>
      <c r="G360" s="2" t="s">
        <v>69</v>
      </c>
      <c r="H360" s="2">
        <v>40.0</v>
      </c>
      <c r="I360" s="5" t="str">
        <f>IFERROR(VLOOKUP($C360, merchants!$A$2:$D$41, 2, FALSE), "Merchant not found")</f>
        <v>Merchant_040</v>
      </c>
      <c r="J360" s="5" t="str">
        <f>IFERROR(VLOOKUP($C360, merchants!$A$2:$D$41, 3, FALSE), "Merchant not found")</f>
        <v>entertainment</v>
      </c>
      <c r="K360" s="5" t="str">
        <f>IFERROR(VLOOKUP($C360, merchants!$A$2:$D$41, 4, FALSE), "Merchant not found")</f>
        <v>South</v>
      </c>
      <c r="Q360" s="5">
        <f t="shared" si="1"/>
        <v>0.3</v>
      </c>
      <c r="R360" s="6">
        <f t="shared" si="2"/>
        <v>46051</v>
      </c>
      <c r="S360" s="5">
        <f t="shared" si="3"/>
        <v>149</v>
      </c>
      <c r="T360" s="5" t="str">
        <f t="shared" si="4"/>
        <v>Normal</v>
      </c>
    </row>
    <row r="361">
      <c r="A361" s="2" t="s">
        <v>478</v>
      </c>
      <c r="B361" s="2">
        <v>154.0</v>
      </c>
      <c r="C361" s="2">
        <v>38.0</v>
      </c>
      <c r="D361" s="4">
        <v>46028.527083333334</v>
      </c>
      <c r="E361" s="2">
        <v>99.0</v>
      </c>
      <c r="F361" s="2" t="s">
        <v>15</v>
      </c>
      <c r="G361" s="2" t="s">
        <v>23</v>
      </c>
      <c r="H361" s="2">
        <v>43.0</v>
      </c>
      <c r="I361" s="5" t="str">
        <f>IFERROR(VLOOKUP($C361, merchants!$A$2:$D$41, 2, FALSE), "Merchant not found")</f>
        <v>Merchant_038</v>
      </c>
      <c r="J361" s="5" t="str">
        <f>IFERROR(VLOOKUP($C361, merchants!$A$2:$D$41, 3, FALSE), "Merchant not found")</f>
        <v>grocery</v>
      </c>
      <c r="K361" s="5" t="str">
        <f>IFERROR(VLOOKUP($C361, merchants!$A$2:$D$41, 4, FALSE), "Merchant not found")</f>
        <v>East</v>
      </c>
      <c r="Q361" s="5">
        <f t="shared" si="1"/>
        <v>0.9</v>
      </c>
      <c r="R361" s="6">
        <f t="shared" si="2"/>
        <v>46028</v>
      </c>
      <c r="S361" s="5">
        <f t="shared" si="3"/>
        <v>99</v>
      </c>
      <c r="T361" s="5" t="str">
        <f t="shared" si="4"/>
        <v>Normal</v>
      </c>
    </row>
    <row r="362">
      <c r="A362" s="2" t="s">
        <v>479</v>
      </c>
      <c r="B362" s="2">
        <v>251.0</v>
      </c>
      <c r="C362" s="2">
        <v>37.0</v>
      </c>
      <c r="D362" s="4">
        <v>46039.69027777778</v>
      </c>
      <c r="E362" s="2">
        <v>49.0</v>
      </c>
      <c r="F362" s="2" t="s">
        <v>12</v>
      </c>
      <c r="G362" s="2" t="s">
        <v>23</v>
      </c>
      <c r="H362" s="2">
        <v>38.0</v>
      </c>
      <c r="I362" s="5" t="str">
        <f>IFERROR(VLOOKUP($C362, merchants!$A$2:$D$41, 2, FALSE), "Merchant not found")</f>
        <v>Merchant_037</v>
      </c>
      <c r="J362" s="5" t="str">
        <f>IFERROR(VLOOKUP($C362, merchants!$A$2:$D$41, 3, FALSE), "Merchant not found")</f>
        <v>entertainment</v>
      </c>
      <c r="K362" s="5" t="str">
        <f>IFERROR(VLOOKUP($C362, merchants!$A$2:$D$41, 4, FALSE), "Merchant not found")</f>
        <v>South</v>
      </c>
      <c r="Q362" s="5">
        <f t="shared" si="1"/>
        <v>0.3</v>
      </c>
      <c r="R362" s="6">
        <f t="shared" si="2"/>
        <v>46039</v>
      </c>
      <c r="S362" s="5">
        <f t="shared" si="3"/>
        <v>49</v>
      </c>
      <c r="T362" s="5" t="str">
        <f t="shared" si="4"/>
        <v>Normal</v>
      </c>
    </row>
    <row r="363">
      <c r="A363" s="2" t="s">
        <v>480</v>
      </c>
      <c r="B363" s="2">
        <v>170.0</v>
      </c>
      <c r="C363" s="2">
        <v>8.0</v>
      </c>
      <c r="D363" s="4">
        <v>46038.01597222222</v>
      </c>
      <c r="E363" s="2">
        <v>2999.0</v>
      </c>
      <c r="F363" s="2" t="s">
        <v>12</v>
      </c>
      <c r="G363" s="2" t="s">
        <v>23</v>
      </c>
      <c r="H363" s="2">
        <v>53.0</v>
      </c>
      <c r="I363" s="5" t="str">
        <f>IFERROR(VLOOKUP($C363, merchants!$A$2:$D$41, 2, FALSE), "Merchant not found")</f>
        <v>Merchant_008</v>
      </c>
      <c r="J363" s="5" t="str">
        <f>IFERROR(VLOOKUP($C363, merchants!$A$2:$D$41, 3, FALSE), "Merchant not found")</f>
        <v>food_delivery</v>
      </c>
      <c r="K363" s="5" t="str">
        <f>IFERROR(VLOOKUP($C363, merchants!$A$2:$D$41, 4, FALSE), "Merchant not found")</f>
        <v>North</v>
      </c>
      <c r="Q363" s="5">
        <f t="shared" si="1"/>
        <v>0.3</v>
      </c>
      <c r="R363" s="6">
        <f t="shared" si="2"/>
        <v>46038</v>
      </c>
      <c r="S363" s="5">
        <f t="shared" si="3"/>
        <v>2999</v>
      </c>
      <c r="T363" s="5" t="str">
        <f t="shared" si="4"/>
        <v>Normal</v>
      </c>
    </row>
    <row r="364">
      <c r="A364" s="2" t="s">
        <v>481</v>
      </c>
      <c r="B364" s="2">
        <v>323.0</v>
      </c>
      <c r="C364" s="2">
        <v>2.0</v>
      </c>
      <c r="D364" s="4">
        <v>46041.40972222222</v>
      </c>
      <c r="E364" s="2">
        <v>49.0</v>
      </c>
      <c r="F364" s="2" t="s">
        <v>15</v>
      </c>
      <c r="G364" s="2" t="s">
        <v>23</v>
      </c>
      <c r="H364" s="2">
        <v>76.0</v>
      </c>
      <c r="I364" s="5" t="str">
        <f>IFERROR(VLOOKUP($C364, merchants!$A$2:$D$41, 2, FALSE), "Merchant not found")</f>
        <v>Merchant_002</v>
      </c>
      <c r="J364" s="5" t="str">
        <f>IFERROR(VLOOKUP($C364, merchants!$A$2:$D$41, 3, FALSE), "Merchant not found")</f>
        <v>grocery</v>
      </c>
      <c r="K364" s="5" t="str">
        <f>IFERROR(VLOOKUP($C364, merchants!$A$2:$D$41, 4, FALSE), "Merchant not found")</f>
        <v>West</v>
      </c>
      <c r="Q364" s="5">
        <f t="shared" si="1"/>
        <v>0.9</v>
      </c>
      <c r="R364" s="6">
        <f t="shared" si="2"/>
        <v>46041</v>
      </c>
      <c r="S364" s="5">
        <f t="shared" si="3"/>
        <v>49</v>
      </c>
      <c r="T364" s="5" t="str">
        <f t="shared" si="4"/>
        <v>Normal</v>
      </c>
    </row>
    <row r="365">
      <c r="A365" s="2" t="s">
        <v>482</v>
      </c>
      <c r="B365" s="2">
        <v>297.0</v>
      </c>
      <c r="C365" s="2">
        <v>37.0</v>
      </c>
      <c r="D365" s="4">
        <v>46038.361805555556</v>
      </c>
      <c r="E365" s="2">
        <v>2999.0</v>
      </c>
      <c r="F365" s="2" t="s">
        <v>13</v>
      </c>
      <c r="G365" s="2" t="s">
        <v>23</v>
      </c>
      <c r="H365" s="2">
        <v>29.0</v>
      </c>
      <c r="I365" s="5" t="str">
        <f>IFERROR(VLOOKUP($C365, merchants!$A$2:$D$41, 2, FALSE), "Merchant not found")</f>
        <v>Merchant_037</v>
      </c>
      <c r="J365" s="5" t="str">
        <f>IFERROR(VLOOKUP($C365, merchants!$A$2:$D$41, 3, FALSE), "Merchant not found")</f>
        <v>entertainment</v>
      </c>
      <c r="K365" s="5" t="str">
        <f>IFERROR(VLOOKUP($C365, merchants!$A$2:$D$41, 4, FALSE), "Merchant not found")</f>
        <v>South</v>
      </c>
      <c r="Q365" s="5">
        <f t="shared" si="1"/>
        <v>0.5</v>
      </c>
      <c r="R365" s="6">
        <f t="shared" si="2"/>
        <v>46038</v>
      </c>
      <c r="S365" s="5">
        <f t="shared" si="3"/>
        <v>2999</v>
      </c>
      <c r="T365" s="5" t="str">
        <f t="shared" si="4"/>
        <v>Normal</v>
      </c>
    </row>
    <row r="366">
      <c r="A366" s="2" t="s">
        <v>483</v>
      </c>
      <c r="B366" s="2">
        <v>246.0</v>
      </c>
      <c r="C366" s="2">
        <v>11.0</v>
      </c>
      <c r="D366" s="4">
        <v>46046.06736111111</v>
      </c>
      <c r="E366" s="2">
        <v>299.0</v>
      </c>
      <c r="F366" s="2" t="s">
        <v>12</v>
      </c>
      <c r="G366" s="2" t="s">
        <v>23</v>
      </c>
      <c r="H366" s="2">
        <v>67.0</v>
      </c>
      <c r="I366" s="5" t="str">
        <f>IFERROR(VLOOKUP($C366, merchants!$A$2:$D$41, 2, FALSE), "Merchant not found")</f>
        <v>Merchant_011</v>
      </c>
      <c r="J366" s="5" t="str">
        <f>IFERROR(VLOOKUP($C366, merchants!$A$2:$D$41, 3, FALSE), "Merchant not found")</f>
        <v>ecommerce</v>
      </c>
      <c r="K366" s="5" t="str">
        <f>IFERROR(VLOOKUP($C366, merchants!$A$2:$D$41, 4, FALSE), "Merchant not found")</f>
        <v>North</v>
      </c>
      <c r="Q366" s="5">
        <f t="shared" si="1"/>
        <v>0.3</v>
      </c>
      <c r="R366" s="6">
        <f t="shared" si="2"/>
        <v>46046</v>
      </c>
      <c r="S366" s="5">
        <f t="shared" si="3"/>
        <v>1798</v>
      </c>
      <c r="T366" s="5" t="str">
        <f t="shared" si="4"/>
        <v>Normal</v>
      </c>
    </row>
    <row r="367">
      <c r="A367" s="2" t="s">
        <v>484</v>
      </c>
      <c r="B367" s="2">
        <v>195.0</v>
      </c>
      <c r="C367" s="2">
        <v>10.0</v>
      </c>
      <c r="D367" s="4">
        <v>46043.98541666667</v>
      </c>
      <c r="E367" s="2">
        <v>99.0</v>
      </c>
      <c r="F367" s="2" t="s">
        <v>12</v>
      </c>
      <c r="G367" s="2" t="s">
        <v>23</v>
      </c>
      <c r="H367" s="2">
        <v>87.0</v>
      </c>
      <c r="I367" s="5" t="str">
        <f>IFERROR(VLOOKUP($C367, merchants!$A$2:$D$41, 2, FALSE), "Merchant not found")</f>
        <v>Merchant_010</v>
      </c>
      <c r="J367" s="5" t="str">
        <f>IFERROR(VLOOKUP($C367, merchants!$A$2:$D$41, 3, FALSE), "Merchant not found")</f>
        <v>grocery</v>
      </c>
      <c r="K367" s="5" t="str">
        <f>IFERROR(VLOOKUP($C367, merchants!$A$2:$D$41, 4, FALSE), "Merchant not found")</f>
        <v>West</v>
      </c>
      <c r="Q367" s="5">
        <f t="shared" si="1"/>
        <v>0.3</v>
      </c>
      <c r="R367" s="6">
        <f t="shared" si="2"/>
        <v>46043</v>
      </c>
      <c r="S367" s="5">
        <f t="shared" si="3"/>
        <v>398</v>
      </c>
      <c r="T367" s="5" t="str">
        <f t="shared" si="4"/>
        <v>Normal</v>
      </c>
    </row>
    <row r="368">
      <c r="A368" s="2" t="s">
        <v>485</v>
      </c>
      <c r="B368" s="2">
        <v>57.0</v>
      </c>
      <c r="C368" s="2">
        <v>13.0</v>
      </c>
      <c r="D368" s="4">
        <v>46030.066666666666</v>
      </c>
      <c r="E368" s="2">
        <v>149.0</v>
      </c>
      <c r="F368" s="2" t="s">
        <v>12</v>
      </c>
      <c r="G368" s="2" t="s">
        <v>23</v>
      </c>
      <c r="H368" s="2">
        <v>2.0</v>
      </c>
      <c r="I368" s="5" t="str">
        <f>IFERROR(VLOOKUP($C368, merchants!$A$2:$D$41, 2, FALSE), "Merchant not found")</f>
        <v>Merchant_013</v>
      </c>
      <c r="J368" s="5" t="str">
        <f>IFERROR(VLOOKUP($C368, merchants!$A$2:$D$41, 3, FALSE), "Merchant not found")</f>
        <v>travel</v>
      </c>
      <c r="K368" s="5" t="str">
        <f>IFERROR(VLOOKUP($C368, merchants!$A$2:$D$41, 4, FALSE), "Merchant not found")</f>
        <v>East</v>
      </c>
      <c r="Q368" s="5">
        <f t="shared" si="1"/>
        <v>0.3</v>
      </c>
      <c r="R368" s="6">
        <f t="shared" si="2"/>
        <v>46030</v>
      </c>
      <c r="S368" s="5">
        <f t="shared" si="3"/>
        <v>149</v>
      </c>
      <c r="T368" s="5" t="str">
        <f t="shared" si="4"/>
        <v>Normal</v>
      </c>
    </row>
    <row r="369">
      <c r="A369" s="2" t="s">
        <v>486</v>
      </c>
      <c r="B369" s="2">
        <v>78.0</v>
      </c>
      <c r="C369" s="2">
        <v>27.0</v>
      </c>
      <c r="D369" s="4">
        <v>46037.43472222222</v>
      </c>
      <c r="E369" s="2">
        <v>1499.0</v>
      </c>
      <c r="F369" s="2" t="s">
        <v>15</v>
      </c>
      <c r="G369" s="2" t="s">
        <v>61</v>
      </c>
      <c r="H369" s="2">
        <v>88.0</v>
      </c>
      <c r="I369" s="5" t="str">
        <f>IFERROR(VLOOKUP($C369, merchants!$A$2:$D$41, 2, FALSE), "Merchant not found")</f>
        <v>Merchant_027</v>
      </c>
      <c r="J369" s="5" t="str">
        <f>IFERROR(VLOOKUP($C369, merchants!$A$2:$D$41, 3, FALSE), "Merchant not found")</f>
        <v>ecommerce</v>
      </c>
      <c r="K369" s="5" t="str">
        <f>IFERROR(VLOOKUP($C369, merchants!$A$2:$D$41, 4, FALSE), "Merchant not found")</f>
        <v>North</v>
      </c>
      <c r="Q369" s="5">
        <f t="shared" si="1"/>
        <v>0.9</v>
      </c>
      <c r="R369" s="6">
        <f t="shared" si="2"/>
        <v>46037</v>
      </c>
      <c r="S369" s="5">
        <f t="shared" si="3"/>
        <v>1499</v>
      </c>
      <c r="T369" s="5" t="str">
        <f t="shared" si="4"/>
        <v>Normal</v>
      </c>
    </row>
    <row r="370">
      <c r="A370" s="2" t="s">
        <v>487</v>
      </c>
      <c r="B370" s="2">
        <v>314.0</v>
      </c>
      <c r="C370" s="2">
        <v>31.0</v>
      </c>
      <c r="D370" s="4">
        <v>46029.563888888886</v>
      </c>
      <c r="E370" s="2">
        <v>49.0</v>
      </c>
      <c r="F370" s="2" t="s">
        <v>12</v>
      </c>
      <c r="G370" s="2" t="s">
        <v>69</v>
      </c>
      <c r="H370" s="2">
        <v>94.0</v>
      </c>
      <c r="I370" s="5" t="str">
        <f>IFERROR(VLOOKUP($C370, merchants!$A$2:$D$41, 2, FALSE), "Merchant not found")</f>
        <v>Merchant_031</v>
      </c>
      <c r="J370" s="5" t="str">
        <f>IFERROR(VLOOKUP($C370, merchants!$A$2:$D$41, 3, FALSE), "Merchant not found")</f>
        <v>bill_payment</v>
      </c>
      <c r="K370" s="5" t="str">
        <f>IFERROR(VLOOKUP($C370, merchants!$A$2:$D$41, 4, FALSE), "Merchant not found")</f>
        <v>East</v>
      </c>
      <c r="Q370" s="5">
        <f t="shared" si="1"/>
        <v>0.3</v>
      </c>
      <c r="R370" s="6">
        <f t="shared" si="2"/>
        <v>46029</v>
      </c>
      <c r="S370" s="5">
        <f t="shared" si="3"/>
        <v>49</v>
      </c>
      <c r="T370" s="5" t="str">
        <f t="shared" si="4"/>
        <v>Normal</v>
      </c>
    </row>
    <row r="371">
      <c r="A371" s="2" t="s">
        <v>488</v>
      </c>
      <c r="B371" s="2">
        <v>71.0</v>
      </c>
      <c r="C371" s="2">
        <v>34.0</v>
      </c>
      <c r="D371" s="4">
        <v>46046.072916666664</v>
      </c>
      <c r="E371" s="2">
        <v>499.0</v>
      </c>
      <c r="F371" s="2" t="s">
        <v>12</v>
      </c>
      <c r="G371" s="2" t="s">
        <v>23</v>
      </c>
      <c r="H371" s="2">
        <v>26.0</v>
      </c>
      <c r="I371" s="5" t="str">
        <f>IFERROR(VLOOKUP($C371, merchants!$A$2:$D$41, 2, FALSE), "Merchant not found")</f>
        <v>Merchant_034</v>
      </c>
      <c r="J371" s="5" t="str">
        <f>IFERROR(VLOOKUP($C371, merchants!$A$2:$D$41, 3, FALSE), "Merchant not found")</f>
        <v>travel</v>
      </c>
      <c r="K371" s="5" t="str">
        <f>IFERROR(VLOOKUP($C371, merchants!$A$2:$D$41, 4, FALSE), "Merchant not found")</f>
        <v>South</v>
      </c>
      <c r="Q371" s="5">
        <f t="shared" si="1"/>
        <v>0.3</v>
      </c>
      <c r="R371" s="6">
        <f t="shared" si="2"/>
        <v>46046</v>
      </c>
      <c r="S371" s="5">
        <f t="shared" si="3"/>
        <v>548</v>
      </c>
      <c r="T371" s="5" t="str">
        <f t="shared" si="4"/>
        <v>Normal</v>
      </c>
    </row>
    <row r="372">
      <c r="A372" s="2" t="s">
        <v>489</v>
      </c>
      <c r="B372" s="2">
        <v>245.0</v>
      </c>
      <c r="C372" s="2">
        <v>34.0</v>
      </c>
      <c r="D372" s="4">
        <v>46040.44583333333</v>
      </c>
      <c r="E372" s="2">
        <v>99.0</v>
      </c>
      <c r="F372" s="2" t="s">
        <v>12</v>
      </c>
      <c r="G372" s="2" t="s">
        <v>23</v>
      </c>
      <c r="H372" s="2">
        <v>48.0</v>
      </c>
      <c r="I372" s="5" t="str">
        <f>IFERROR(VLOOKUP($C372, merchants!$A$2:$D$41, 2, FALSE), "Merchant not found")</f>
        <v>Merchant_034</v>
      </c>
      <c r="J372" s="5" t="str">
        <f>IFERROR(VLOOKUP($C372, merchants!$A$2:$D$41, 3, FALSE), "Merchant not found")</f>
        <v>travel</v>
      </c>
      <c r="K372" s="5" t="str">
        <f>IFERROR(VLOOKUP($C372, merchants!$A$2:$D$41, 4, FALSE), "Merchant not found")</f>
        <v>South</v>
      </c>
      <c r="Q372" s="5">
        <f t="shared" si="1"/>
        <v>0.3</v>
      </c>
      <c r="R372" s="6">
        <f t="shared" si="2"/>
        <v>46040</v>
      </c>
      <c r="S372" s="5">
        <f t="shared" si="3"/>
        <v>148</v>
      </c>
      <c r="T372" s="5" t="str">
        <f t="shared" si="4"/>
        <v>Normal</v>
      </c>
    </row>
    <row r="373">
      <c r="A373" s="2" t="s">
        <v>490</v>
      </c>
      <c r="B373" s="2">
        <v>273.0</v>
      </c>
      <c r="C373" s="2">
        <v>22.0</v>
      </c>
      <c r="D373" s="4">
        <v>46033.228472222225</v>
      </c>
      <c r="E373" s="2">
        <v>299.0</v>
      </c>
      <c r="F373" s="2" t="s">
        <v>13</v>
      </c>
      <c r="G373" s="2" t="s">
        <v>23</v>
      </c>
      <c r="H373" s="2">
        <v>69.0</v>
      </c>
      <c r="I373" s="5" t="str">
        <f>IFERROR(VLOOKUP($C373, merchants!$A$2:$D$41, 2, FALSE), "Merchant not found")</f>
        <v>Merchant_022</v>
      </c>
      <c r="J373" s="5" t="str">
        <f>IFERROR(VLOOKUP($C373, merchants!$A$2:$D$41, 3, FALSE), "Merchant not found")</f>
        <v>travel</v>
      </c>
      <c r="K373" s="5" t="str">
        <f>IFERROR(VLOOKUP($C373, merchants!$A$2:$D$41, 4, FALSE), "Merchant not found")</f>
        <v>South</v>
      </c>
      <c r="Q373" s="5">
        <f t="shared" si="1"/>
        <v>0.5</v>
      </c>
      <c r="R373" s="6">
        <f t="shared" si="2"/>
        <v>46033</v>
      </c>
      <c r="S373" s="5">
        <f t="shared" si="3"/>
        <v>299</v>
      </c>
      <c r="T373" s="5" t="str">
        <f t="shared" si="4"/>
        <v>Normal</v>
      </c>
    </row>
    <row r="374">
      <c r="A374" s="2" t="s">
        <v>491</v>
      </c>
      <c r="B374" s="2">
        <v>349.0</v>
      </c>
      <c r="C374" s="2">
        <v>17.0</v>
      </c>
      <c r="D374" s="4">
        <v>46034.90902777778</v>
      </c>
      <c r="E374" s="2">
        <v>1499.0</v>
      </c>
      <c r="F374" s="2" t="s">
        <v>12</v>
      </c>
      <c r="G374" s="2" t="s">
        <v>23</v>
      </c>
      <c r="H374" s="2">
        <v>78.0</v>
      </c>
      <c r="I374" s="5" t="str">
        <f>IFERROR(VLOOKUP($C374, merchants!$A$2:$D$41, 2, FALSE), "Merchant not found")</f>
        <v>Merchant_017</v>
      </c>
      <c r="J374" s="5" t="str">
        <f>IFERROR(VLOOKUP($C374, merchants!$A$2:$D$41, 3, FALSE), "Merchant not found")</f>
        <v>grocery</v>
      </c>
      <c r="K374" s="5" t="str">
        <f>IFERROR(VLOOKUP($C374, merchants!$A$2:$D$41, 4, FALSE), "Merchant not found")</f>
        <v>North</v>
      </c>
      <c r="Q374" s="5">
        <f t="shared" si="1"/>
        <v>0.3</v>
      </c>
      <c r="R374" s="6">
        <f t="shared" si="2"/>
        <v>46034</v>
      </c>
      <c r="S374" s="5">
        <f t="shared" si="3"/>
        <v>1499</v>
      </c>
      <c r="T374" s="5" t="str">
        <f t="shared" si="4"/>
        <v>Normal</v>
      </c>
    </row>
    <row r="375">
      <c r="A375" s="2" t="s">
        <v>492</v>
      </c>
      <c r="B375" s="2">
        <v>143.0</v>
      </c>
      <c r="C375" s="2">
        <v>36.0</v>
      </c>
      <c r="D375" s="4">
        <v>46038.260416666664</v>
      </c>
      <c r="E375" s="2">
        <v>1499.0</v>
      </c>
      <c r="F375" s="2" t="s">
        <v>15</v>
      </c>
      <c r="G375" s="2" t="s">
        <v>23</v>
      </c>
      <c r="H375" s="2">
        <v>38.0</v>
      </c>
      <c r="I375" s="5" t="str">
        <f>IFERROR(VLOOKUP($C375, merchants!$A$2:$D$41, 2, FALSE), "Merchant not found")</f>
        <v>Merchant_036</v>
      </c>
      <c r="J375" s="5" t="str">
        <f>IFERROR(VLOOKUP($C375, merchants!$A$2:$D$41, 3, FALSE), "Merchant not found")</f>
        <v>entertainment</v>
      </c>
      <c r="K375" s="5" t="str">
        <f>IFERROR(VLOOKUP($C375, merchants!$A$2:$D$41, 4, FALSE), "Merchant not found")</f>
        <v>East</v>
      </c>
      <c r="Q375" s="5">
        <f t="shared" si="1"/>
        <v>0.9</v>
      </c>
      <c r="R375" s="6">
        <f t="shared" si="2"/>
        <v>46038</v>
      </c>
      <c r="S375" s="5">
        <f t="shared" si="3"/>
        <v>1499</v>
      </c>
      <c r="T375" s="5" t="str">
        <f t="shared" si="4"/>
        <v>Normal</v>
      </c>
    </row>
    <row r="376">
      <c r="A376" s="2" t="s">
        <v>493</v>
      </c>
      <c r="B376" s="2">
        <v>148.0</v>
      </c>
      <c r="C376" s="2">
        <v>14.0</v>
      </c>
      <c r="D376" s="4">
        <v>46030.40902777778</v>
      </c>
      <c r="E376" s="2">
        <v>799.0</v>
      </c>
      <c r="F376" s="2" t="s">
        <v>13</v>
      </c>
      <c r="G376" s="2" t="s">
        <v>23</v>
      </c>
      <c r="H376" s="2">
        <v>88.0</v>
      </c>
      <c r="I376" s="5" t="str">
        <f>IFERROR(VLOOKUP($C376, merchants!$A$2:$D$41, 2, FALSE), "Merchant not found")</f>
        <v>Merchant_014</v>
      </c>
      <c r="J376" s="5" t="str">
        <f>IFERROR(VLOOKUP($C376, merchants!$A$2:$D$41, 3, FALSE), "Merchant not found")</f>
        <v>grocery</v>
      </c>
      <c r="K376" s="5" t="str">
        <f>IFERROR(VLOOKUP($C376, merchants!$A$2:$D$41, 4, FALSE), "Merchant not found")</f>
        <v>East</v>
      </c>
      <c r="Q376" s="5">
        <f t="shared" si="1"/>
        <v>0.5</v>
      </c>
      <c r="R376" s="6">
        <f t="shared" si="2"/>
        <v>46030</v>
      </c>
      <c r="S376" s="5">
        <f t="shared" si="3"/>
        <v>799</v>
      </c>
      <c r="T376" s="5" t="str">
        <f t="shared" si="4"/>
        <v>Normal</v>
      </c>
    </row>
    <row r="377">
      <c r="A377" s="2" t="s">
        <v>494</v>
      </c>
      <c r="B377" s="2">
        <v>246.0</v>
      </c>
      <c r="C377" s="2">
        <v>23.0</v>
      </c>
      <c r="D377" s="4">
        <v>46045.63888888889</v>
      </c>
      <c r="E377" s="2">
        <v>49.0</v>
      </c>
      <c r="F377" s="2" t="s">
        <v>12</v>
      </c>
      <c r="G377" s="2" t="s">
        <v>23</v>
      </c>
      <c r="H377" s="2">
        <v>71.0</v>
      </c>
      <c r="I377" s="5" t="str">
        <f>IFERROR(VLOOKUP($C377, merchants!$A$2:$D$41, 2, FALSE), "Merchant not found")</f>
        <v>Merchant_023</v>
      </c>
      <c r="J377" s="5" t="str">
        <f>IFERROR(VLOOKUP($C377, merchants!$A$2:$D$41, 3, FALSE), "Merchant not found")</f>
        <v>travel</v>
      </c>
      <c r="K377" s="5" t="str">
        <f>IFERROR(VLOOKUP($C377, merchants!$A$2:$D$41, 4, FALSE), "Merchant not found")</f>
        <v>North</v>
      </c>
      <c r="Q377" s="5">
        <f t="shared" si="1"/>
        <v>0.3</v>
      </c>
      <c r="R377" s="6">
        <f t="shared" si="2"/>
        <v>46045</v>
      </c>
      <c r="S377" s="5">
        <f t="shared" si="3"/>
        <v>247</v>
      </c>
      <c r="T377" s="5" t="str">
        <f t="shared" si="4"/>
        <v>Normal</v>
      </c>
    </row>
    <row r="378">
      <c r="A378" s="2" t="s">
        <v>495</v>
      </c>
      <c r="B378" s="2">
        <v>148.0</v>
      </c>
      <c r="C378" s="2">
        <v>8.0</v>
      </c>
      <c r="D378" s="4">
        <v>46052.970138888886</v>
      </c>
      <c r="E378" s="2">
        <v>99.0</v>
      </c>
      <c r="F378" s="2" t="s">
        <v>13</v>
      </c>
      <c r="G378" s="2" t="s">
        <v>23</v>
      </c>
      <c r="H378" s="2">
        <v>73.0</v>
      </c>
      <c r="I378" s="5" t="str">
        <f>IFERROR(VLOOKUP($C378, merchants!$A$2:$D$41, 2, FALSE), "Merchant not found")</f>
        <v>Merchant_008</v>
      </c>
      <c r="J378" s="5" t="str">
        <f>IFERROR(VLOOKUP($C378, merchants!$A$2:$D$41, 3, FALSE), "Merchant not found")</f>
        <v>food_delivery</v>
      </c>
      <c r="K378" s="5" t="str">
        <f>IFERROR(VLOOKUP($C378, merchants!$A$2:$D$41, 4, FALSE), "Merchant not found")</f>
        <v>North</v>
      </c>
      <c r="Q378" s="5">
        <f t="shared" si="1"/>
        <v>0.5</v>
      </c>
      <c r="R378" s="6">
        <f t="shared" si="2"/>
        <v>46052</v>
      </c>
      <c r="S378" s="5">
        <f t="shared" si="3"/>
        <v>99</v>
      </c>
      <c r="T378" s="5" t="str">
        <f t="shared" si="4"/>
        <v>Normal</v>
      </c>
    </row>
    <row r="379">
      <c r="A379" s="2" t="s">
        <v>496</v>
      </c>
      <c r="B379" s="2">
        <v>203.0</v>
      </c>
      <c r="C379" s="2">
        <v>23.0</v>
      </c>
      <c r="D379" s="4">
        <v>46044.725</v>
      </c>
      <c r="E379" s="2">
        <v>49.0</v>
      </c>
      <c r="F379" s="2" t="s">
        <v>12</v>
      </c>
      <c r="G379" s="2" t="s">
        <v>23</v>
      </c>
      <c r="H379" s="2">
        <v>98.0</v>
      </c>
      <c r="I379" s="5" t="str">
        <f>IFERROR(VLOOKUP($C379, merchants!$A$2:$D$41, 2, FALSE), "Merchant not found")</f>
        <v>Merchant_023</v>
      </c>
      <c r="J379" s="5" t="str">
        <f>IFERROR(VLOOKUP($C379, merchants!$A$2:$D$41, 3, FALSE), "Merchant not found")</f>
        <v>travel</v>
      </c>
      <c r="K379" s="5" t="str">
        <f>IFERROR(VLOOKUP($C379, merchants!$A$2:$D$41, 4, FALSE), "Merchant not found")</f>
        <v>North</v>
      </c>
      <c r="Q379" s="5">
        <f t="shared" si="1"/>
        <v>0.3</v>
      </c>
      <c r="R379" s="6">
        <f t="shared" si="2"/>
        <v>46044</v>
      </c>
      <c r="S379" s="5">
        <f t="shared" si="3"/>
        <v>49</v>
      </c>
      <c r="T379" s="5" t="str">
        <f t="shared" si="4"/>
        <v>Normal</v>
      </c>
    </row>
    <row r="380">
      <c r="A380" s="2" t="s">
        <v>497</v>
      </c>
      <c r="B380" s="2">
        <v>22.0</v>
      </c>
      <c r="C380" s="2">
        <v>19.0</v>
      </c>
      <c r="D380" s="4">
        <v>46048.17916666667</v>
      </c>
      <c r="E380" s="2">
        <v>49.0</v>
      </c>
      <c r="F380" s="2" t="s">
        <v>14</v>
      </c>
      <c r="G380" s="2" t="s">
        <v>23</v>
      </c>
      <c r="H380" s="2">
        <v>91.0</v>
      </c>
      <c r="I380" s="5" t="str">
        <f>IFERROR(VLOOKUP($C380, merchants!$A$2:$D$41, 2, FALSE), "Merchant not found")</f>
        <v>Merchant_019</v>
      </c>
      <c r="J380" s="5" t="str">
        <f>IFERROR(VLOOKUP($C380, merchants!$A$2:$D$41, 3, FALSE), "Merchant not found")</f>
        <v>grocery</v>
      </c>
      <c r="K380" s="5" t="str">
        <f>IFERROR(VLOOKUP($C380, merchants!$A$2:$D$41, 4, FALSE), "Merchant not found")</f>
        <v>North</v>
      </c>
      <c r="Q380" s="5">
        <f t="shared" si="1"/>
        <v>1.5</v>
      </c>
      <c r="R380" s="6">
        <f t="shared" si="2"/>
        <v>46048</v>
      </c>
      <c r="S380" s="5">
        <f t="shared" si="3"/>
        <v>49</v>
      </c>
      <c r="T380" s="5" t="str">
        <f t="shared" si="4"/>
        <v>Normal</v>
      </c>
    </row>
    <row r="381">
      <c r="A381" s="2" t="s">
        <v>498</v>
      </c>
      <c r="B381" s="2">
        <v>227.0</v>
      </c>
      <c r="C381" s="2">
        <v>17.0</v>
      </c>
      <c r="D381" s="4">
        <v>46025.49930555555</v>
      </c>
      <c r="E381" s="2">
        <v>299.0</v>
      </c>
      <c r="F381" s="2" t="s">
        <v>13</v>
      </c>
      <c r="G381" s="2" t="s">
        <v>23</v>
      </c>
      <c r="H381" s="2">
        <v>95.0</v>
      </c>
      <c r="I381" s="5" t="str">
        <f>IFERROR(VLOOKUP($C381, merchants!$A$2:$D$41, 2, FALSE), "Merchant not found")</f>
        <v>Merchant_017</v>
      </c>
      <c r="J381" s="5" t="str">
        <f>IFERROR(VLOOKUP($C381, merchants!$A$2:$D$41, 3, FALSE), "Merchant not found")</f>
        <v>grocery</v>
      </c>
      <c r="K381" s="5" t="str">
        <f>IFERROR(VLOOKUP($C381, merchants!$A$2:$D$41, 4, FALSE), "Merchant not found")</f>
        <v>North</v>
      </c>
      <c r="Q381" s="5">
        <f t="shared" si="1"/>
        <v>0.5</v>
      </c>
      <c r="R381" s="6">
        <f t="shared" si="2"/>
        <v>46025</v>
      </c>
      <c r="S381" s="5">
        <f t="shared" si="3"/>
        <v>398</v>
      </c>
      <c r="T381" s="5" t="str">
        <f t="shared" si="4"/>
        <v>Normal</v>
      </c>
    </row>
    <row r="382">
      <c r="A382" s="2" t="s">
        <v>499</v>
      </c>
      <c r="B382" s="2">
        <v>276.0</v>
      </c>
      <c r="C382" s="2">
        <v>18.0</v>
      </c>
      <c r="D382" s="4">
        <v>46038.25833333333</v>
      </c>
      <c r="E382" s="2">
        <v>149.0</v>
      </c>
      <c r="F382" s="2" t="s">
        <v>13</v>
      </c>
      <c r="G382" s="2" t="s">
        <v>23</v>
      </c>
      <c r="H382" s="2">
        <v>71.0</v>
      </c>
      <c r="I382" s="5" t="str">
        <f>IFERROR(VLOOKUP($C382, merchants!$A$2:$D$41, 2, FALSE), "Merchant not found")</f>
        <v>Merchant_018</v>
      </c>
      <c r="J382" s="5" t="str">
        <f>IFERROR(VLOOKUP($C382, merchants!$A$2:$D$41, 3, FALSE), "Merchant not found")</f>
        <v>grocery</v>
      </c>
      <c r="K382" s="5" t="str">
        <f>IFERROR(VLOOKUP($C382, merchants!$A$2:$D$41, 4, FALSE), "Merchant not found")</f>
        <v>West</v>
      </c>
      <c r="Q382" s="5">
        <f t="shared" si="1"/>
        <v>0.5</v>
      </c>
      <c r="R382" s="6">
        <f t="shared" si="2"/>
        <v>46038</v>
      </c>
      <c r="S382" s="5">
        <f t="shared" si="3"/>
        <v>3148</v>
      </c>
      <c r="T382" s="5" t="str">
        <f t="shared" si="4"/>
        <v>Normal</v>
      </c>
    </row>
    <row r="383">
      <c r="A383" s="2" t="s">
        <v>500</v>
      </c>
      <c r="B383" s="2">
        <v>56.0</v>
      </c>
      <c r="C383" s="2">
        <v>40.0</v>
      </c>
      <c r="D383" s="4">
        <v>46045.33888888889</v>
      </c>
      <c r="E383" s="2">
        <v>99.0</v>
      </c>
      <c r="F383" s="2" t="s">
        <v>14</v>
      </c>
      <c r="G383" s="2" t="s">
        <v>23</v>
      </c>
      <c r="H383" s="2">
        <v>94.0</v>
      </c>
      <c r="I383" s="5" t="str">
        <f>IFERROR(VLOOKUP($C383, merchants!$A$2:$D$41, 2, FALSE), "Merchant not found")</f>
        <v>Merchant_040</v>
      </c>
      <c r="J383" s="5" t="str">
        <f>IFERROR(VLOOKUP($C383, merchants!$A$2:$D$41, 3, FALSE), "Merchant not found")</f>
        <v>entertainment</v>
      </c>
      <c r="K383" s="5" t="str">
        <f>IFERROR(VLOOKUP($C383, merchants!$A$2:$D$41, 4, FALSE), "Merchant not found")</f>
        <v>South</v>
      </c>
      <c r="Q383" s="5">
        <f t="shared" si="1"/>
        <v>1.5</v>
      </c>
      <c r="R383" s="6">
        <f t="shared" si="2"/>
        <v>46045</v>
      </c>
      <c r="S383" s="5">
        <f t="shared" si="3"/>
        <v>598</v>
      </c>
      <c r="T383" s="5" t="str">
        <f t="shared" si="4"/>
        <v>Normal</v>
      </c>
    </row>
    <row r="384">
      <c r="A384" s="2" t="s">
        <v>501</v>
      </c>
      <c r="B384" s="2">
        <v>26.0</v>
      </c>
      <c r="C384" s="2">
        <v>34.0</v>
      </c>
      <c r="D384" s="4">
        <v>46041.302083333336</v>
      </c>
      <c r="E384" s="2">
        <v>499.0</v>
      </c>
      <c r="F384" s="2" t="s">
        <v>14</v>
      </c>
      <c r="G384" s="2" t="s">
        <v>23</v>
      </c>
      <c r="H384" s="2">
        <v>28.0</v>
      </c>
      <c r="I384" s="5" t="str">
        <f>IFERROR(VLOOKUP($C384, merchants!$A$2:$D$41, 2, FALSE), "Merchant not found")</f>
        <v>Merchant_034</v>
      </c>
      <c r="J384" s="5" t="str">
        <f>IFERROR(VLOOKUP($C384, merchants!$A$2:$D$41, 3, FALSE), "Merchant not found")</f>
        <v>travel</v>
      </c>
      <c r="K384" s="5" t="str">
        <f>IFERROR(VLOOKUP($C384, merchants!$A$2:$D$41, 4, FALSE), "Merchant not found")</f>
        <v>South</v>
      </c>
      <c r="Q384" s="5">
        <f t="shared" si="1"/>
        <v>1.5</v>
      </c>
      <c r="R384" s="6">
        <f t="shared" si="2"/>
        <v>46041</v>
      </c>
      <c r="S384" s="5">
        <f t="shared" si="3"/>
        <v>499</v>
      </c>
      <c r="T384" s="5" t="str">
        <f t="shared" si="4"/>
        <v>Normal</v>
      </c>
    </row>
    <row r="385">
      <c r="A385" s="2" t="s">
        <v>502</v>
      </c>
      <c r="B385" s="2">
        <v>52.0</v>
      </c>
      <c r="C385" s="2">
        <v>27.0</v>
      </c>
      <c r="D385" s="4">
        <v>46043.29375</v>
      </c>
      <c r="E385" s="2">
        <v>499.0</v>
      </c>
      <c r="F385" s="2" t="s">
        <v>14</v>
      </c>
      <c r="G385" s="2" t="s">
        <v>23</v>
      </c>
      <c r="H385" s="2">
        <v>42.0</v>
      </c>
      <c r="I385" s="5" t="str">
        <f>IFERROR(VLOOKUP($C385, merchants!$A$2:$D$41, 2, FALSE), "Merchant not found")</f>
        <v>Merchant_027</v>
      </c>
      <c r="J385" s="5" t="str">
        <f>IFERROR(VLOOKUP($C385, merchants!$A$2:$D$41, 3, FALSE), "Merchant not found")</f>
        <v>ecommerce</v>
      </c>
      <c r="K385" s="5" t="str">
        <f>IFERROR(VLOOKUP($C385, merchants!$A$2:$D$41, 4, FALSE), "Merchant not found")</f>
        <v>North</v>
      </c>
      <c r="Q385" s="5">
        <f t="shared" si="1"/>
        <v>1.5</v>
      </c>
      <c r="R385" s="6">
        <f t="shared" si="2"/>
        <v>46043</v>
      </c>
      <c r="S385" s="5">
        <f t="shared" si="3"/>
        <v>499</v>
      </c>
      <c r="T385" s="5" t="str">
        <f t="shared" si="4"/>
        <v>Normal</v>
      </c>
    </row>
    <row r="386">
      <c r="A386" s="2" t="s">
        <v>503</v>
      </c>
      <c r="B386" s="2">
        <v>349.0</v>
      </c>
      <c r="C386" s="2">
        <v>9.0</v>
      </c>
      <c r="D386" s="4">
        <v>46045.629166666666</v>
      </c>
      <c r="E386" s="2">
        <v>499.0</v>
      </c>
      <c r="F386" s="2" t="s">
        <v>13</v>
      </c>
      <c r="G386" s="2" t="s">
        <v>23</v>
      </c>
      <c r="H386" s="2">
        <v>0.0</v>
      </c>
      <c r="I386" s="5" t="str">
        <f>IFERROR(VLOOKUP($C386, merchants!$A$2:$D$41, 2, FALSE), "Merchant not found")</f>
        <v>Merchant_009</v>
      </c>
      <c r="J386" s="5" t="str">
        <f>IFERROR(VLOOKUP($C386, merchants!$A$2:$D$41, 3, FALSE), "Merchant not found")</f>
        <v>ecommerce</v>
      </c>
      <c r="K386" s="5" t="str">
        <f>IFERROR(VLOOKUP($C386, merchants!$A$2:$D$41, 4, FALSE), "Merchant not found")</f>
        <v>North</v>
      </c>
      <c r="Q386" s="5">
        <f t="shared" si="1"/>
        <v>0.5</v>
      </c>
      <c r="R386" s="6">
        <f t="shared" si="2"/>
        <v>46045</v>
      </c>
      <c r="S386" s="5">
        <f t="shared" si="3"/>
        <v>898</v>
      </c>
      <c r="T386" s="5" t="str">
        <f t="shared" si="4"/>
        <v>Normal</v>
      </c>
    </row>
    <row r="387">
      <c r="A387" s="2" t="s">
        <v>504</v>
      </c>
      <c r="B387" s="2">
        <v>335.0</v>
      </c>
      <c r="C387" s="2">
        <v>31.0</v>
      </c>
      <c r="D387" s="4">
        <v>46040.22638888889</v>
      </c>
      <c r="E387" s="2">
        <v>49.0</v>
      </c>
      <c r="F387" s="2" t="s">
        <v>14</v>
      </c>
      <c r="G387" s="2" t="s">
        <v>23</v>
      </c>
      <c r="H387" s="2">
        <v>61.0</v>
      </c>
      <c r="I387" s="5" t="str">
        <f>IFERROR(VLOOKUP($C387, merchants!$A$2:$D$41, 2, FALSE), "Merchant not found")</f>
        <v>Merchant_031</v>
      </c>
      <c r="J387" s="5" t="str">
        <f>IFERROR(VLOOKUP($C387, merchants!$A$2:$D$41, 3, FALSE), "Merchant not found")</f>
        <v>bill_payment</v>
      </c>
      <c r="K387" s="5" t="str">
        <f>IFERROR(VLOOKUP($C387, merchants!$A$2:$D$41, 4, FALSE), "Merchant not found")</f>
        <v>East</v>
      </c>
      <c r="Q387" s="5">
        <f t="shared" si="1"/>
        <v>1.5</v>
      </c>
      <c r="R387" s="6">
        <f t="shared" si="2"/>
        <v>46040</v>
      </c>
      <c r="S387" s="5">
        <f t="shared" si="3"/>
        <v>49</v>
      </c>
      <c r="T387" s="5" t="str">
        <f t="shared" si="4"/>
        <v>Normal</v>
      </c>
    </row>
    <row r="388">
      <c r="A388" s="2" t="s">
        <v>505</v>
      </c>
      <c r="B388" s="2">
        <v>148.0</v>
      </c>
      <c r="C388" s="2">
        <v>21.0</v>
      </c>
      <c r="D388" s="4">
        <v>46043.28333333333</v>
      </c>
      <c r="E388" s="2">
        <v>49.0</v>
      </c>
      <c r="F388" s="2" t="s">
        <v>14</v>
      </c>
      <c r="G388" s="2" t="s">
        <v>23</v>
      </c>
      <c r="H388" s="2">
        <v>36.0</v>
      </c>
      <c r="I388" s="5" t="str">
        <f>IFERROR(VLOOKUP($C388, merchants!$A$2:$D$41, 2, FALSE), "Merchant not found")</f>
        <v>Merchant_021</v>
      </c>
      <c r="J388" s="5" t="str">
        <f>IFERROR(VLOOKUP($C388, merchants!$A$2:$D$41, 3, FALSE), "Merchant not found")</f>
        <v>food_delivery</v>
      </c>
      <c r="K388" s="5" t="str">
        <f>IFERROR(VLOOKUP($C388, merchants!$A$2:$D$41, 4, FALSE), "Merchant not found")</f>
        <v>East</v>
      </c>
      <c r="Q388" s="5">
        <f t="shared" si="1"/>
        <v>1.5</v>
      </c>
      <c r="R388" s="6">
        <f t="shared" si="2"/>
        <v>46043</v>
      </c>
      <c r="S388" s="5">
        <f t="shared" si="3"/>
        <v>49</v>
      </c>
      <c r="T388" s="5" t="str">
        <f t="shared" si="4"/>
        <v>Normal</v>
      </c>
    </row>
    <row r="389">
      <c r="A389" s="2" t="s">
        <v>506</v>
      </c>
      <c r="B389" s="2">
        <v>46.0</v>
      </c>
      <c r="C389" s="2">
        <v>37.0</v>
      </c>
      <c r="D389" s="4">
        <v>46043.08194444444</v>
      </c>
      <c r="E389" s="2">
        <v>99.0</v>
      </c>
      <c r="F389" s="2" t="s">
        <v>13</v>
      </c>
      <c r="G389" s="2" t="s">
        <v>23</v>
      </c>
      <c r="H389" s="2">
        <v>29.0</v>
      </c>
      <c r="I389" s="5" t="str">
        <f>IFERROR(VLOOKUP($C389, merchants!$A$2:$D$41, 2, FALSE), "Merchant not found")</f>
        <v>Merchant_037</v>
      </c>
      <c r="J389" s="5" t="str">
        <f>IFERROR(VLOOKUP($C389, merchants!$A$2:$D$41, 3, FALSE), "Merchant not found")</f>
        <v>entertainment</v>
      </c>
      <c r="K389" s="5" t="str">
        <f>IFERROR(VLOOKUP($C389, merchants!$A$2:$D$41, 4, FALSE), "Merchant not found")</f>
        <v>South</v>
      </c>
      <c r="Q389" s="5">
        <f t="shared" si="1"/>
        <v>0.5</v>
      </c>
      <c r="R389" s="6">
        <f t="shared" si="2"/>
        <v>46043</v>
      </c>
      <c r="S389" s="5">
        <f t="shared" si="3"/>
        <v>99</v>
      </c>
      <c r="T389" s="5" t="str">
        <f t="shared" si="4"/>
        <v>Normal</v>
      </c>
    </row>
    <row r="390">
      <c r="A390" s="2" t="s">
        <v>507</v>
      </c>
      <c r="B390" s="2">
        <v>20.0</v>
      </c>
      <c r="C390" s="2">
        <v>12.0</v>
      </c>
      <c r="D390" s="4">
        <v>46040.990277777775</v>
      </c>
      <c r="E390" s="2">
        <v>799.0</v>
      </c>
      <c r="F390" s="2" t="s">
        <v>14</v>
      </c>
      <c r="G390" s="2" t="s">
        <v>23</v>
      </c>
      <c r="H390" s="2">
        <v>53.0</v>
      </c>
      <c r="I390" s="5" t="str">
        <f>IFERROR(VLOOKUP($C390, merchants!$A$2:$D$41, 2, FALSE), "Merchant not found")</f>
        <v>Merchant_012</v>
      </c>
      <c r="J390" s="5" t="str">
        <f>IFERROR(VLOOKUP($C390, merchants!$A$2:$D$41, 3, FALSE), "Merchant not found")</f>
        <v>ecommerce</v>
      </c>
      <c r="K390" s="5" t="str">
        <f>IFERROR(VLOOKUP($C390, merchants!$A$2:$D$41, 4, FALSE), "Merchant not found")</f>
        <v>East</v>
      </c>
      <c r="Q390" s="5">
        <f t="shared" si="1"/>
        <v>1.5</v>
      </c>
      <c r="R390" s="6">
        <f t="shared" si="2"/>
        <v>46040</v>
      </c>
      <c r="S390" s="5">
        <f t="shared" si="3"/>
        <v>799</v>
      </c>
      <c r="T390" s="5" t="str">
        <f t="shared" si="4"/>
        <v>Normal</v>
      </c>
    </row>
    <row r="391">
      <c r="A391" s="2" t="s">
        <v>508</v>
      </c>
      <c r="B391" s="2">
        <v>19.0</v>
      </c>
      <c r="C391" s="2">
        <v>26.0</v>
      </c>
      <c r="D391" s="4">
        <v>46051.24930555555</v>
      </c>
      <c r="E391" s="2">
        <v>49.0</v>
      </c>
      <c r="F391" s="2" t="s">
        <v>12</v>
      </c>
      <c r="G391" s="2" t="s">
        <v>23</v>
      </c>
      <c r="H391" s="2">
        <v>100.0</v>
      </c>
      <c r="I391" s="5" t="str">
        <f>IFERROR(VLOOKUP($C391, merchants!$A$2:$D$41, 2, FALSE), "Merchant not found")</f>
        <v>Merchant_026</v>
      </c>
      <c r="J391" s="5" t="str">
        <f>IFERROR(VLOOKUP($C391, merchants!$A$2:$D$41, 3, FALSE), "Merchant not found")</f>
        <v>food_delivery</v>
      </c>
      <c r="K391" s="5" t="str">
        <f>IFERROR(VLOOKUP($C391, merchants!$A$2:$D$41, 4, FALSE), "Merchant not found")</f>
        <v>East</v>
      </c>
      <c r="Q391" s="5">
        <f t="shared" si="1"/>
        <v>0.3</v>
      </c>
      <c r="R391" s="6">
        <f t="shared" si="2"/>
        <v>46051</v>
      </c>
      <c r="S391" s="5">
        <f t="shared" si="3"/>
        <v>148</v>
      </c>
      <c r="T391" s="5" t="str">
        <f t="shared" si="4"/>
        <v>Normal</v>
      </c>
    </row>
    <row r="392">
      <c r="A392" s="2" t="s">
        <v>509</v>
      </c>
      <c r="B392" s="2">
        <v>149.0</v>
      </c>
      <c r="C392" s="2">
        <v>3.0</v>
      </c>
      <c r="D392" s="4">
        <v>46038.24930555555</v>
      </c>
      <c r="E392" s="2">
        <v>4999.0</v>
      </c>
      <c r="F392" s="2" t="s">
        <v>13</v>
      </c>
      <c r="G392" s="2" t="s">
        <v>23</v>
      </c>
      <c r="H392" s="2">
        <v>1.0</v>
      </c>
      <c r="I392" s="5" t="str">
        <f>IFERROR(VLOOKUP($C392, merchants!$A$2:$D$41, 2, FALSE), "Merchant not found")</f>
        <v>Merchant_003</v>
      </c>
      <c r="J392" s="5" t="str">
        <f>IFERROR(VLOOKUP($C392, merchants!$A$2:$D$41, 3, FALSE), "Merchant not found")</f>
        <v>grocery</v>
      </c>
      <c r="K392" s="5" t="str">
        <f>IFERROR(VLOOKUP($C392, merchants!$A$2:$D$41, 4, FALSE), "Merchant not found")</f>
        <v>East</v>
      </c>
      <c r="Q392" s="5">
        <f t="shared" si="1"/>
        <v>0.5</v>
      </c>
      <c r="R392" s="6">
        <f t="shared" si="2"/>
        <v>46038</v>
      </c>
      <c r="S392" s="5">
        <f t="shared" si="3"/>
        <v>4999</v>
      </c>
      <c r="T392" s="5" t="str">
        <f t="shared" si="4"/>
        <v>Normal</v>
      </c>
    </row>
    <row r="393">
      <c r="A393" s="2" t="s">
        <v>510</v>
      </c>
      <c r="B393" s="2">
        <v>55.0</v>
      </c>
      <c r="C393" s="2">
        <v>22.0</v>
      </c>
      <c r="D393" s="4">
        <v>46032.77638888889</v>
      </c>
      <c r="E393" s="2">
        <v>499.0</v>
      </c>
      <c r="F393" s="2" t="s">
        <v>12</v>
      </c>
      <c r="G393" s="2" t="s">
        <v>23</v>
      </c>
      <c r="H393" s="2">
        <v>36.0</v>
      </c>
      <c r="I393" s="5" t="str">
        <f>IFERROR(VLOOKUP($C393, merchants!$A$2:$D$41, 2, FALSE), "Merchant not found")</f>
        <v>Merchant_022</v>
      </c>
      <c r="J393" s="5" t="str">
        <f>IFERROR(VLOOKUP($C393, merchants!$A$2:$D$41, 3, FALSE), "Merchant not found")</f>
        <v>travel</v>
      </c>
      <c r="K393" s="5" t="str">
        <f>IFERROR(VLOOKUP($C393, merchants!$A$2:$D$41, 4, FALSE), "Merchant not found")</f>
        <v>South</v>
      </c>
      <c r="Q393" s="5">
        <f t="shared" si="1"/>
        <v>0.3</v>
      </c>
      <c r="R393" s="6">
        <f t="shared" si="2"/>
        <v>46032</v>
      </c>
      <c r="S393" s="5">
        <f t="shared" si="3"/>
        <v>499</v>
      </c>
      <c r="T393" s="5" t="str">
        <f t="shared" si="4"/>
        <v>Normal</v>
      </c>
    </row>
    <row r="394">
      <c r="A394" s="2" t="s">
        <v>511</v>
      </c>
      <c r="B394" s="2">
        <v>269.0</v>
      </c>
      <c r="C394" s="2">
        <v>32.0</v>
      </c>
      <c r="D394" s="4">
        <v>46037.856944444444</v>
      </c>
      <c r="E394" s="2">
        <v>49.0</v>
      </c>
      <c r="F394" s="2" t="s">
        <v>14</v>
      </c>
      <c r="G394" s="2" t="s">
        <v>23</v>
      </c>
      <c r="H394" s="2">
        <v>17.0</v>
      </c>
      <c r="I394" s="5" t="str">
        <f>IFERROR(VLOOKUP($C394, merchants!$A$2:$D$41, 2, FALSE), "Merchant not found")</f>
        <v>Merchant_032</v>
      </c>
      <c r="J394" s="5" t="str">
        <f>IFERROR(VLOOKUP($C394, merchants!$A$2:$D$41, 3, FALSE), "Merchant not found")</f>
        <v>food_delivery</v>
      </c>
      <c r="K394" s="5" t="str">
        <f>IFERROR(VLOOKUP($C394, merchants!$A$2:$D$41, 4, FALSE), "Merchant not found")</f>
        <v>West</v>
      </c>
      <c r="Q394" s="5">
        <f t="shared" si="1"/>
        <v>1.5</v>
      </c>
      <c r="R394" s="6">
        <f t="shared" si="2"/>
        <v>46037</v>
      </c>
      <c r="S394" s="5">
        <f t="shared" si="3"/>
        <v>148</v>
      </c>
      <c r="T394" s="5" t="str">
        <f t="shared" si="4"/>
        <v>Normal</v>
      </c>
    </row>
    <row r="395">
      <c r="A395" s="2" t="s">
        <v>512</v>
      </c>
      <c r="B395" s="2">
        <v>140.0</v>
      </c>
      <c r="C395" s="2">
        <v>13.0</v>
      </c>
      <c r="D395" s="4">
        <v>46050.68680555555</v>
      </c>
      <c r="E395" s="2">
        <v>2999.0</v>
      </c>
      <c r="F395" s="2" t="s">
        <v>12</v>
      </c>
      <c r="G395" s="2" t="s">
        <v>23</v>
      </c>
      <c r="H395" s="2">
        <v>14.0</v>
      </c>
      <c r="I395" s="5" t="str">
        <f>IFERROR(VLOOKUP($C395, merchants!$A$2:$D$41, 2, FALSE), "Merchant not found")</f>
        <v>Merchant_013</v>
      </c>
      <c r="J395" s="5" t="str">
        <f>IFERROR(VLOOKUP($C395, merchants!$A$2:$D$41, 3, FALSE), "Merchant not found")</f>
        <v>travel</v>
      </c>
      <c r="K395" s="5" t="str">
        <f>IFERROR(VLOOKUP($C395, merchants!$A$2:$D$41, 4, FALSE), "Merchant not found")</f>
        <v>East</v>
      </c>
      <c r="Q395" s="5">
        <f t="shared" si="1"/>
        <v>0.3</v>
      </c>
      <c r="R395" s="6">
        <f t="shared" si="2"/>
        <v>46050</v>
      </c>
      <c r="S395" s="5">
        <f t="shared" si="3"/>
        <v>2999</v>
      </c>
      <c r="T395" s="5" t="str">
        <f t="shared" si="4"/>
        <v>Normal</v>
      </c>
    </row>
    <row r="396">
      <c r="A396" s="2" t="s">
        <v>513</v>
      </c>
      <c r="B396" s="2">
        <v>235.0</v>
      </c>
      <c r="C396" s="2">
        <v>17.0</v>
      </c>
      <c r="D396" s="4">
        <v>46033.240277777775</v>
      </c>
      <c r="E396" s="2">
        <v>2999.0</v>
      </c>
      <c r="F396" s="2" t="s">
        <v>12</v>
      </c>
      <c r="G396" s="2" t="s">
        <v>23</v>
      </c>
      <c r="H396" s="2">
        <v>91.0</v>
      </c>
      <c r="I396" s="5" t="str">
        <f>IFERROR(VLOOKUP($C396, merchants!$A$2:$D$41, 2, FALSE), "Merchant not found")</f>
        <v>Merchant_017</v>
      </c>
      <c r="J396" s="5" t="str">
        <f>IFERROR(VLOOKUP($C396, merchants!$A$2:$D$41, 3, FALSE), "Merchant not found")</f>
        <v>grocery</v>
      </c>
      <c r="K396" s="5" t="str">
        <f>IFERROR(VLOOKUP($C396, merchants!$A$2:$D$41, 4, FALSE), "Merchant not found")</f>
        <v>North</v>
      </c>
      <c r="Q396" s="5">
        <f t="shared" si="1"/>
        <v>0.3</v>
      </c>
      <c r="R396" s="6">
        <f t="shared" si="2"/>
        <v>46033</v>
      </c>
      <c r="S396" s="5">
        <f t="shared" si="3"/>
        <v>7998</v>
      </c>
      <c r="T396" s="5" t="str">
        <f t="shared" si="4"/>
        <v>High-Value Merchant Day</v>
      </c>
    </row>
    <row r="397">
      <c r="A397" s="2" t="s">
        <v>514</v>
      </c>
      <c r="B397" s="2">
        <v>173.0</v>
      </c>
      <c r="C397" s="2">
        <v>19.0</v>
      </c>
      <c r="D397" s="4">
        <v>46028.032638888886</v>
      </c>
      <c r="E397" s="2">
        <v>499.0</v>
      </c>
      <c r="F397" s="2" t="s">
        <v>12</v>
      </c>
      <c r="G397" s="2" t="s">
        <v>61</v>
      </c>
      <c r="H397" s="2">
        <v>72.0</v>
      </c>
      <c r="I397" s="5" t="str">
        <f>IFERROR(VLOOKUP($C397, merchants!$A$2:$D$41, 2, FALSE), "Merchant not found")</f>
        <v>Merchant_019</v>
      </c>
      <c r="J397" s="5" t="str">
        <f>IFERROR(VLOOKUP($C397, merchants!$A$2:$D$41, 3, FALSE), "Merchant not found")</f>
        <v>grocery</v>
      </c>
      <c r="K397" s="5" t="str">
        <f>IFERROR(VLOOKUP($C397, merchants!$A$2:$D$41, 4, FALSE), "Merchant not found")</f>
        <v>North</v>
      </c>
      <c r="Q397" s="5">
        <f t="shared" si="1"/>
        <v>0.3</v>
      </c>
      <c r="R397" s="6">
        <f t="shared" si="2"/>
        <v>46028</v>
      </c>
      <c r="S397" s="5">
        <f t="shared" si="3"/>
        <v>499</v>
      </c>
      <c r="T397" s="5" t="str">
        <f t="shared" si="4"/>
        <v>Normal</v>
      </c>
    </row>
    <row r="398">
      <c r="A398" s="2" t="s">
        <v>515</v>
      </c>
      <c r="B398" s="2">
        <v>313.0</v>
      </c>
      <c r="C398" s="2">
        <v>26.0</v>
      </c>
      <c r="D398" s="4">
        <v>46044.25763888889</v>
      </c>
      <c r="E398" s="2">
        <v>499.0</v>
      </c>
      <c r="F398" s="2" t="s">
        <v>12</v>
      </c>
      <c r="G398" s="2" t="s">
        <v>23</v>
      </c>
      <c r="H398" s="2">
        <v>54.0</v>
      </c>
      <c r="I398" s="5" t="str">
        <f>IFERROR(VLOOKUP($C398, merchants!$A$2:$D$41, 2, FALSE), "Merchant not found")</f>
        <v>Merchant_026</v>
      </c>
      <c r="J398" s="5" t="str">
        <f>IFERROR(VLOOKUP($C398, merchants!$A$2:$D$41, 3, FALSE), "Merchant not found")</f>
        <v>food_delivery</v>
      </c>
      <c r="K398" s="5" t="str">
        <f>IFERROR(VLOOKUP($C398, merchants!$A$2:$D$41, 4, FALSE), "Merchant not found")</f>
        <v>East</v>
      </c>
      <c r="Q398" s="5">
        <f t="shared" si="1"/>
        <v>0.3</v>
      </c>
      <c r="R398" s="6">
        <f t="shared" si="2"/>
        <v>46044</v>
      </c>
      <c r="S398" s="5">
        <f t="shared" si="3"/>
        <v>499</v>
      </c>
      <c r="T398" s="5" t="str">
        <f t="shared" si="4"/>
        <v>Normal</v>
      </c>
    </row>
    <row r="399">
      <c r="A399" s="2" t="s">
        <v>516</v>
      </c>
      <c r="B399" s="2">
        <v>206.0</v>
      </c>
      <c r="C399" s="2">
        <v>7.0</v>
      </c>
      <c r="D399" s="4">
        <v>46039.42013888889</v>
      </c>
      <c r="E399" s="2">
        <v>149.0</v>
      </c>
      <c r="F399" s="2" t="s">
        <v>13</v>
      </c>
      <c r="G399" s="2" t="s">
        <v>23</v>
      </c>
      <c r="H399" s="2">
        <v>23.0</v>
      </c>
      <c r="I399" s="5" t="str">
        <f>IFERROR(VLOOKUP($C399, merchants!$A$2:$D$41, 2, FALSE), "Merchant not found")</f>
        <v>Merchant_007</v>
      </c>
      <c r="J399" s="5" t="str">
        <f>IFERROR(VLOOKUP($C399, merchants!$A$2:$D$41, 3, FALSE), "Merchant not found")</f>
        <v>food_delivery</v>
      </c>
      <c r="K399" s="5" t="str">
        <f>IFERROR(VLOOKUP($C399, merchants!$A$2:$D$41, 4, FALSE), "Merchant not found")</f>
        <v>East</v>
      </c>
      <c r="Q399" s="5">
        <f t="shared" si="1"/>
        <v>0.5</v>
      </c>
      <c r="R399" s="6">
        <f t="shared" si="2"/>
        <v>46039</v>
      </c>
      <c r="S399" s="5">
        <f t="shared" si="3"/>
        <v>149</v>
      </c>
      <c r="T399" s="5" t="str">
        <f t="shared" si="4"/>
        <v>Normal</v>
      </c>
    </row>
    <row r="400">
      <c r="A400" s="2" t="s">
        <v>517</v>
      </c>
      <c r="B400" s="2">
        <v>128.0</v>
      </c>
      <c r="C400" s="2">
        <v>1.0</v>
      </c>
      <c r="D400" s="4">
        <v>46027.63888888889</v>
      </c>
      <c r="E400" s="2">
        <v>1499.0</v>
      </c>
      <c r="F400" s="2" t="s">
        <v>15</v>
      </c>
      <c r="G400" s="2" t="s">
        <v>23</v>
      </c>
      <c r="H400" s="2">
        <v>33.0</v>
      </c>
      <c r="I400" s="5" t="str">
        <f>IFERROR(VLOOKUP($C400, merchants!$A$2:$D$41, 2, FALSE), "Merchant not found")</f>
        <v>Merchant_001</v>
      </c>
      <c r="J400" s="5" t="str">
        <f>IFERROR(VLOOKUP($C400, merchants!$A$2:$D$41, 3, FALSE), "Merchant not found")</f>
        <v>ecommerce</v>
      </c>
      <c r="K400" s="5" t="str">
        <f>IFERROR(VLOOKUP($C400, merchants!$A$2:$D$41, 4, FALSE), "Merchant not found")</f>
        <v>South</v>
      </c>
      <c r="Q400" s="5">
        <f t="shared" si="1"/>
        <v>0.9</v>
      </c>
      <c r="R400" s="6">
        <f t="shared" si="2"/>
        <v>46027</v>
      </c>
      <c r="S400" s="5">
        <f t="shared" si="3"/>
        <v>1499</v>
      </c>
      <c r="T400" s="5" t="str">
        <f t="shared" si="4"/>
        <v>Normal</v>
      </c>
    </row>
    <row r="401">
      <c r="A401" s="2" t="s">
        <v>518</v>
      </c>
      <c r="B401" s="2">
        <v>137.0</v>
      </c>
      <c r="C401" s="2">
        <v>22.0</v>
      </c>
      <c r="D401" s="4">
        <v>46035.311111111114</v>
      </c>
      <c r="E401" s="2">
        <v>799.0</v>
      </c>
      <c r="F401" s="2" t="s">
        <v>12</v>
      </c>
      <c r="G401" s="2" t="s">
        <v>61</v>
      </c>
      <c r="H401" s="2">
        <v>38.0</v>
      </c>
      <c r="I401" s="5" t="str">
        <f>IFERROR(VLOOKUP($C401, merchants!$A$2:$D$41, 2, FALSE), "Merchant not found")</f>
        <v>Merchant_022</v>
      </c>
      <c r="J401" s="5" t="str">
        <f>IFERROR(VLOOKUP($C401, merchants!$A$2:$D$41, 3, FALSE), "Merchant not found")</f>
        <v>travel</v>
      </c>
      <c r="K401" s="5" t="str">
        <f>IFERROR(VLOOKUP($C401, merchants!$A$2:$D$41, 4, FALSE), "Merchant not found")</f>
        <v>South</v>
      </c>
      <c r="Q401" s="5">
        <f t="shared" si="1"/>
        <v>0.3</v>
      </c>
      <c r="R401" s="6">
        <f t="shared" si="2"/>
        <v>46035</v>
      </c>
      <c r="S401" s="5">
        <f t="shared" si="3"/>
        <v>5798</v>
      </c>
      <c r="T401" s="5" t="str">
        <f t="shared" si="4"/>
        <v>High-Value Merchant Day</v>
      </c>
    </row>
    <row r="402">
      <c r="A402" s="2" t="s">
        <v>519</v>
      </c>
      <c r="B402" s="2">
        <v>6.0</v>
      </c>
      <c r="C402" s="2">
        <v>17.0</v>
      </c>
      <c r="D402" s="4">
        <v>46041.98333333333</v>
      </c>
      <c r="E402" s="2">
        <v>49.0</v>
      </c>
      <c r="F402" s="2" t="s">
        <v>12</v>
      </c>
      <c r="G402" s="2" t="s">
        <v>23</v>
      </c>
      <c r="H402" s="2">
        <v>83.0</v>
      </c>
      <c r="I402" s="5" t="str">
        <f>IFERROR(VLOOKUP($C402, merchants!$A$2:$D$41, 2, FALSE), "Merchant not found")</f>
        <v>Merchant_017</v>
      </c>
      <c r="J402" s="5" t="str">
        <f>IFERROR(VLOOKUP($C402, merchants!$A$2:$D$41, 3, FALSE), "Merchant not found")</f>
        <v>grocery</v>
      </c>
      <c r="K402" s="5" t="str">
        <f>IFERROR(VLOOKUP($C402, merchants!$A$2:$D$41, 4, FALSE), "Merchant not found")</f>
        <v>North</v>
      </c>
      <c r="Q402" s="5">
        <f t="shared" si="1"/>
        <v>0.3</v>
      </c>
      <c r="R402" s="6">
        <f t="shared" si="2"/>
        <v>46041</v>
      </c>
      <c r="S402" s="5">
        <f t="shared" si="3"/>
        <v>49</v>
      </c>
      <c r="T402" s="5" t="str">
        <f t="shared" si="4"/>
        <v>Normal</v>
      </c>
    </row>
    <row r="403">
      <c r="A403" s="2" t="s">
        <v>520</v>
      </c>
      <c r="B403" s="2">
        <v>32.0</v>
      </c>
      <c r="C403" s="2">
        <v>8.0</v>
      </c>
      <c r="D403" s="4">
        <v>46034.927083333336</v>
      </c>
      <c r="E403" s="2">
        <v>299.0</v>
      </c>
      <c r="F403" s="2" t="s">
        <v>14</v>
      </c>
      <c r="G403" s="2" t="s">
        <v>23</v>
      </c>
      <c r="H403" s="2">
        <v>59.0</v>
      </c>
      <c r="I403" s="5" t="str">
        <f>IFERROR(VLOOKUP($C403, merchants!$A$2:$D$41, 2, FALSE), "Merchant not found")</f>
        <v>Merchant_008</v>
      </c>
      <c r="J403" s="5" t="str">
        <f>IFERROR(VLOOKUP($C403, merchants!$A$2:$D$41, 3, FALSE), "Merchant not found")</f>
        <v>food_delivery</v>
      </c>
      <c r="K403" s="5" t="str">
        <f>IFERROR(VLOOKUP($C403, merchants!$A$2:$D$41, 4, FALSE), "Merchant not found")</f>
        <v>North</v>
      </c>
      <c r="Q403" s="5">
        <f t="shared" si="1"/>
        <v>1.5</v>
      </c>
      <c r="R403" s="6">
        <f t="shared" si="2"/>
        <v>46034</v>
      </c>
      <c r="S403" s="5">
        <f t="shared" si="3"/>
        <v>398</v>
      </c>
      <c r="T403" s="5" t="str">
        <f t="shared" si="4"/>
        <v>Normal</v>
      </c>
    </row>
    <row r="404">
      <c r="A404" s="2" t="s">
        <v>521</v>
      </c>
      <c r="B404" s="2">
        <v>258.0</v>
      </c>
      <c r="C404" s="2">
        <v>20.0</v>
      </c>
      <c r="D404" s="4">
        <v>46032.225694444445</v>
      </c>
      <c r="E404" s="2">
        <v>149.0</v>
      </c>
      <c r="F404" s="2" t="s">
        <v>12</v>
      </c>
      <c r="G404" s="2" t="s">
        <v>23</v>
      </c>
      <c r="H404" s="2">
        <v>88.0</v>
      </c>
      <c r="I404" s="5" t="str">
        <f>IFERROR(VLOOKUP($C404, merchants!$A$2:$D$41, 2, FALSE), "Merchant not found")</f>
        <v>Merchant_020</v>
      </c>
      <c r="J404" s="5" t="str">
        <f>IFERROR(VLOOKUP($C404, merchants!$A$2:$D$41, 3, FALSE), "Merchant not found")</f>
        <v>food_delivery</v>
      </c>
      <c r="K404" s="5" t="str">
        <f>IFERROR(VLOOKUP($C404, merchants!$A$2:$D$41, 4, FALSE), "Merchant not found")</f>
        <v>East</v>
      </c>
      <c r="Q404" s="5">
        <f t="shared" si="1"/>
        <v>0.3</v>
      </c>
      <c r="R404" s="6">
        <f t="shared" si="2"/>
        <v>46032</v>
      </c>
      <c r="S404" s="5">
        <f t="shared" si="3"/>
        <v>149</v>
      </c>
      <c r="T404" s="5" t="str">
        <f t="shared" si="4"/>
        <v>Normal</v>
      </c>
    </row>
    <row r="405">
      <c r="A405" s="2" t="s">
        <v>522</v>
      </c>
      <c r="B405" s="2">
        <v>152.0</v>
      </c>
      <c r="C405" s="2">
        <v>24.0</v>
      </c>
      <c r="D405" s="4">
        <v>46026.873611111114</v>
      </c>
      <c r="E405" s="2">
        <v>149.0</v>
      </c>
      <c r="F405" s="2" t="s">
        <v>12</v>
      </c>
      <c r="G405" s="2" t="s">
        <v>69</v>
      </c>
      <c r="H405" s="2">
        <v>78.0</v>
      </c>
      <c r="I405" s="5" t="str">
        <f>IFERROR(VLOOKUP($C405, merchants!$A$2:$D$41, 2, FALSE), "Merchant not found")</f>
        <v>Merchant_024</v>
      </c>
      <c r="J405" s="5" t="str">
        <f>IFERROR(VLOOKUP($C405, merchants!$A$2:$D$41, 3, FALSE), "Merchant not found")</f>
        <v>grocery</v>
      </c>
      <c r="K405" s="5" t="str">
        <f>IFERROR(VLOOKUP($C405, merchants!$A$2:$D$41, 4, FALSE), "Merchant not found")</f>
        <v>North</v>
      </c>
      <c r="Q405" s="5">
        <f t="shared" si="1"/>
        <v>0.3</v>
      </c>
      <c r="R405" s="6">
        <f t="shared" si="2"/>
        <v>46026</v>
      </c>
      <c r="S405" s="5">
        <f t="shared" si="3"/>
        <v>149</v>
      </c>
      <c r="T405" s="5" t="str">
        <f t="shared" si="4"/>
        <v>Normal</v>
      </c>
    </row>
    <row r="406">
      <c r="A406" s="2" t="s">
        <v>523</v>
      </c>
      <c r="B406" s="2">
        <v>245.0</v>
      </c>
      <c r="C406" s="2">
        <v>10.0</v>
      </c>
      <c r="D406" s="4">
        <v>46030.29722222222</v>
      </c>
      <c r="E406" s="2">
        <v>799.0</v>
      </c>
      <c r="F406" s="2" t="s">
        <v>13</v>
      </c>
      <c r="G406" s="2" t="s">
        <v>23</v>
      </c>
      <c r="H406" s="2">
        <v>58.0</v>
      </c>
      <c r="I406" s="5" t="str">
        <f>IFERROR(VLOOKUP($C406, merchants!$A$2:$D$41, 2, FALSE), "Merchant not found")</f>
        <v>Merchant_010</v>
      </c>
      <c r="J406" s="5" t="str">
        <f>IFERROR(VLOOKUP($C406, merchants!$A$2:$D$41, 3, FALSE), "Merchant not found")</f>
        <v>grocery</v>
      </c>
      <c r="K406" s="5" t="str">
        <f>IFERROR(VLOOKUP($C406, merchants!$A$2:$D$41, 4, FALSE), "Merchant not found")</f>
        <v>West</v>
      </c>
      <c r="Q406" s="5">
        <f t="shared" si="1"/>
        <v>0.5</v>
      </c>
      <c r="R406" s="6">
        <f t="shared" si="2"/>
        <v>46030</v>
      </c>
      <c r="S406" s="5">
        <f t="shared" si="3"/>
        <v>799</v>
      </c>
      <c r="T406" s="5" t="str">
        <f t="shared" si="4"/>
        <v>Normal</v>
      </c>
    </row>
    <row r="407">
      <c r="A407" s="2" t="s">
        <v>524</v>
      </c>
      <c r="B407" s="2">
        <v>213.0</v>
      </c>
      <c r="C407" s="2">
        <v>36.0</v>
      </c>
      <c r="D407" s="4">
        <v>46046.80763888889</v>
      </c>
      <c r="E407" s="2">
        <v>49.0</v>
      </c>
      <c r="F407" s="2" t="s">
        <v>13</v>
      </c>
      <c r="G407" s="2" t="s">
        <v>23</v>
      </c>
      <c r="H407" s="2">
        <v>60.0</v>
      </c>
      <c r="I407" s="5" t="str">
        <f>IFERROR(VLOOKUP($C407, merchants!$A$2:$D$41, 2, FALSE), "Merchant not found")</f>
        <v>Merchant_036</v>
      </c>
      <c r="J407" s="5" t="str">
        <f>IFERROR(VLOOKUP($C407, merchants!$A$2:$D$41, 3, FALSE), "Merchant not found")</f>
        <v>entertainment</v>
      </c>
      <c r="K407" s="5" t="str">
        <f>IFERROR(VLOOKUP($C407, merchants!$A$2:$D$41, 4, FALSE), "Merchant not found")</f>
        <v>East</v>
      </c>
      <c r="Q407" s="5">
        <f t="shared" si="1"/>
        <v>0.5</v>
      </c>
      <c r="R407" s="6">
        <f t="shared" si="2"/>
        <v>46046</v>
      </c>
      <c r="S407" s="5">
        <f t="shared" si="3"/>
        <v>1647</v>
      </c>
      <c r="T407" s="5" t="str">
        <f t="shared" si="4"/>
        <v>Normal</v>
      </c>
    </row>
    <row r="408">
      <c r="A408" s="2" t="s">
        <v>525</v>
      </c>
      <c r="B408" s="2">
        <v>341.0</v>
      </c>
      <c r="C408" s="2">
        <v>14.0</v>
      </c>
      <c r="D408" s="4">
        <v>46047.74375</v>
      </c>
      <c r="E408" s="2">
        <v>99.0</v>
      </c>
      <c r="F408" s="2" t="s">
        <v>15</v>
      </c>
      <c r="G408" s="2" t="s">
        <v>23</v>
      </c>
      <c r="H408" s="2">
        <v>97.0</v>
      </c>
      <c r="I408" s="5" t="str">
        <f>IFERROR(VLOOKUP($C408, merchants!$A$2:$D$41, 2, FALSE), "Merchant not found")</f>
        <v>Merchant_014</v>
      </c>
      <c r="J408" s="5" t="str">
        <f>IFERROR(VLOOKUP($C408, merchants!$A$2:$D$41, 3, FALSE), "Merchant not found")</f>
        <v>grocery</v>
      </c>
      <c r="K408" s="5" t="str">
        <f>IFERROR(VLOOKUP($C408, merchants!$A$2:$D$41, 4, FALSE), "Merchant not found")</f>
        <v>East</v>
      </c>
      <c r="Q408" s="5">
        <f t="shared" si="1"/>
        <v>0.9</v>
      </c>
      <c r="R408" s="6">
        <f t="shared" si="2"/>
        <v>46047</v>
      </c>
      <c r="S408" s="5">
        <f t="shared" si="3"/>
        <v>1598</v>
      </c>
      <c r="T408" s="5" t="str">
        <f t="shared" si="4"/>
        <v>Normal</v>
      </c>
    </row>
    <row r="409">
      <c r="A409" s="2" t="s">
        <v>526</v>
      </c>
      <c r="B409" s="2">
        <v>306.0</v>
      </c>
      <c r="C409" s="2">
        <v>6.0</v>
      </c>
      <c r="D409" s="4">
        <v>46030.90833333333</v>
      </c>
      <c r="E409" s="2">
        <v>149.0</v>
      </c>
      <c r="F409" s="2" t="s">
        <v>15</v>
      </c>
      <c r="G409" s="2" t="s">
        <v>23</v>
      </c>
      <c r="H409" s="2">
        <v>67.0</v>
      </c>
      <c r="I409" s="5" t="str">
        <f>IFERROR(VLOOKUP($C409, merchants!$A$2:$D$41, 2, FALSE), "Merchant not found")</f>
        <v>Merchant_006</v>
      </c>
      <c r="J409" s="5" t="str">
        <f>IFERROR(VLOOKUP($C409, merchants!$A$2:$D$41, 3, FALSE), "Merchant not found")</f>
        <v>food_delivery</v>
      </c>
      <c r="K409" s="5" t="str">
        <f>IFERROR(VLOOKUP($C409, merchants!$A$2:$D$41, 4, FALSE), "Merchant not found")</f>
        <v>South</v>
      </c>
      <c r="Q409" s="5">
        <f t="shared" si="1"/>
        <v>0.9</v>
      </c>
      <c r="R409" s="6">
        <f t="shared" si="2"/>
        <v>46030</v>
      </c>
      <c r="S409" s="5">
        <f t="shared" si="3"/>
        <v>149</v>
      </c>
      <c r="T409" s="5" t="str">
        <f t="shared" si="4"/>
        <v>Normal</v>
      </c>
    </row>
    <row r="410">
      <c r="A410" s="2" t="s">
        <v>527</v>
      </c>
      <c r="B410" s="2">
        <v>186.0</v>
      </c>
      <c r="C410" s="2">
        <v>5.0</v>
      </c>
      <c r="D410" s="4">
        <v>46037.697916666664</v>
      </c>
      <c r="E410" s="2">
        <v>499.0</v>
      </c>
      <c r="F410" s="2" t="s">
        <v>12</v>
      </c>
      <c r="G410" s="2" t="s">
        <v>23</v>
      </c>
      <c r="H410" s="2">
        <v>72.0</v>
      </c>
      <c r="I410" s="5" t="str">
        <f>IFERROR(VLOOKUP($C410, merchants!$A$2:$D$41, 2, FALSE), "Merchant not found")</f>
        <v>Merchant_005</v>
      </c>
      <c r="J410" s="5" t="str">
        <f>IFERROR(VLOOKUP($C410, merchants!$A$2:$D$41, 3, FALSE), "Merchant not found")</f>
        <v>recharge</v>
      </c>
      <c r="K410" s="5" t="str">
        <f>IFERROR(VLOOKUP($C410, merchants!$A$2:$D$41, 4, FALSE), "Merchant not found")</f>
        <v>South</v>
      </c>
      <c r="Q410" s="5">
        <f t="shared" si="1"/>
        <v>0.3</v>
      </c>
      <c r="R410" s="6">
        <f t="shared" si="2"/>
        <v>46037</v>
      </c>
      <c r="S410" s="5">
        <f t="shared" si="3"/>
        <v>548</v>
      </c>
      <c r="T410" s="5" t="str">
        <f t="shared" si="4"/>
        <v>Normal</v>
      </c>
    </row>
    <row r="411">
      <c r="A411" s="2" t="s">
        <v>528</v>
      </c>
      <c r="B411" s="2">
        <v>281.0</v>
      </c>
      <c r="C411" s="2">
        <v>33.0</v>
      </c>
      <c r="D411" s="4">
        <v>46026.07847222222</v>
      </c>
      <c r="E411" s="2">
        <v>4999.0</v>
      </c>
      <c r="F411" s="2" t="s">
        <v>12</v>
      </c>
      <c r="G411" s="2" t="s">
        <v>23</v>
      </c>
      <c r="H411" s="2">
        <v>25.0</v>
      </c>
      <c r="I411" s="5" t="str">
        <f>IFERROR(VLOOKUP($C411, merchants!$A$2:$D$41, 2, FALSE), "Merchant not found")</f>
        <v>Merchant_033</v>
      </c>
      <c r="J411" s="5" t="str">
        <f>IFERROR(VLOOKUP($C411, merchants!$A$2:$D$41, 3, FALSE), "Merchant not found")</f>
        <v>bill_payment</v>
      </c>
      <c r="K411" s="5" t="str">
        <f>IFERROR(VLOOKUP($C411, merchants!$A$2:$D$41, 4, FALSE), "Merchant not found")</f>
        <v>East</v>
      </c>
      <c r="Q411" s="5">
        <f t="shared" si="1"/>
        <v>0.3</v>
      </c>
      <c r="R411" s="6">
        <f t="shared" si="2"/>
        <v>46026</v>
      </c>
      <c r="S411" s="5">
        <f t="shared" si="3"/>
        <v>4999</v>
      </c>
      <c r="T411" s="5" t="str">
        <f t="shared" si="4"/>
        <v>Normal</v>
      </c>
    </row>
    <row r="412">
      <c r="A412" s="2" t="s">
        <v>529</v>
      </c>
      <c r="B412" s="2">
        <v>85.0</v>
      </c>
      <c r="C412" s="2">
        <v>21.0</v>
      </c>
      <c r="D412" s="4">
        <v>46041.714583333334</v>
      </c>
      <c r="E412" s="2">
        <v>99.0</v>
      </c>
      <c r="F412" s="2" t="s">
        <v>12</v>
      </c>
      <c r="G412" s="2" t="s">
        <v>23</v>
      </c>
      <c r="H412" s="2">
        <v>66.0</v>
      </c>
      <c r="I412" s="5" t="str">
        <f>IFERROR(VLOOKUP($C412, merchants!$A$2:$D$41, 2, FALSE), "Merchant not found")</f>
        <v>Merchant_021</v>
      </c>
      <c r="J412" s="5" t="str">
        <f>IFERROR(VLOOKUP($C412, merchants!$A$2:$D$41, 3, FALSE), "Merchant not found")</f>
        <v>food_delivery</v>
      </c>
      <c r="K412" s="5" t="str">
        <f>IFERROR(VLOOKUP($C412, merchants!$A$2:$D$41, 4, FALSE), "Merchant not found")</f>
        <v>East</v>
      </c>
      <c r="Q412" s="5">
        <f t="shared" si="1"/>
        <v>0.3</v>
      </c>
      <c r="R412" s="6">
        <f t="shared" si="2"/>
        <v>46041</v>
      </c>
      <c r="S412" s="5">
        <f t="shared" si="3"/>
        <v>99</v>
      </c>
      <c r="T412" s="5" t="str">
        <f t="shared" si="4"/>
        <v>Normal</v>
      </c>
    </row>
    <row r="413">
      <c r="A413" s="2" t="s">
        <v>530</v>
      </c>
      <c r="B413" s="2">
        <v>106.0</v>
      </c>
      <c r="C413" s="2">
        <v>38.0</v>
      </c>
      <c r="D413" s="4">
        <v>46037.154861111114</v>
      </c>
      <c r="E413" s="2">
        <v>499.0</v>
      </c>
      <c r="F413" s="2" t="s">
        <v>12</v>
      </c>
      <c r="G413" s="2" t="s">
        <v>23</v>
      </c>
      <c r="H413" s="2">
        <v>62.0</v>
      </c>
      <c r="I413" s="5" t="str">
        <f>IFERROR(VLOOKUP($C413, merchants!$A$2:$D$41, 2, FALSE), "Merchant not found")</f>
        <v>Merchant_038</v>
      </c>
      <c r="J413" s="5" t="str">
        <f>IFERROR(VLOOKUP($C413, merchants!$A$2:$D$41, 3, FALSE), "Merchant not found")</f>
        <v>grocery</v>
      </c>
      <c r="K413" s="5" t="str">
        <f>IFERROR(VLOOKUP($C413, merchants!$A$2:$D$41, 4, FALSE), "Merchant not found")</f>
        <v>East</v>
      </c>
      <c r="Q413" s="5">
        <f t="shared" si="1"/>
        <v>0.3</v>
      </c>
      <c r="R413" s="6">
        <f t="shared" si="2"/>
        <v>46037</v>
      </c>
      <c r="S413" s="5">
        <f t="shared" si="3"/>
        <v>499</v>
      </c>
      <c r="T413" s="5" t="str">
        <f t="shared" si="4"/>
        <v>Normal</v>
      </c>
    </row>
    <row r="414">
      <c r="A414" s="2" t="s">
        <v>531</v>
      </c>
      <c r="B414" s="2">
        <v>29.0</v>
      </c>
      <c r="C414" s="2">
        <v>30.0</v>
      </c>
      <c r="D414" s="4">
        <v>46025.686111111114</v>
      </c>
      <c r="E414" s="2">
        <v>149.0</v>
      </c>
      <c r="F414" s="2" t="s">
        <v>15</v>
      </c>
      <c r="G414" s="2" t="s">
        <v>23</v>
      </c>
      <c r="H414" s="2">
        <v>16.0</v>
      </c>
      <c r="I414" s="5" t="str">
        <f>IFERROR(VLOOKUP($C414, merchants!$A$2:$D$41, 2, FALSE), "Merchant not found")</f>
        <v>Merchant_030</v>
      </c>
      <c r="J414" s="5" t="str">
        <f>IFERROR(VLOOKUP($C414, merchants!$A$2:$D$41, 3, FALSE), "Merchant not found")</f>
        <v>travel</v>
      </c>
      <c r="K414" s="5" t="str">
        <f>IFERROR(VLOOKUP($C414, merchants!$A$2:$D$41, 4, FALSE), "Merchant not found")</f>
        <v>West</v>
      </c>
      <c r="Q414" s="5">
        <f t="shared" si="1"/>
        <v>0.9</v>
      </c>
      <c r="R414" s="6">
        <f t="shared" si="2"/>
        <v>46025</v>
      </c>
      <c r="S414" s="5">
        <f t="shared" si="3"/>
        <v>149</v>
      </c>
      <c r="T414" s="5" t="str">
        <f t="shared" si="4"/>
        <v>Normal</v>
      </c>
    </row>
    <row r="415">
      <c r="A415" s="2" t="s">
        <v>532</v>
      </c>
      <c r="B415" s="2">
        <v>289.0</v>
      </c>
      <c r="C415" s="2">
        <v>4.0</v>
      </c>
      <c r="D415" s="4">
        <v>46039.56180555555</v>
      </c>
      <c r="E415" s="2">
        <v>1499.0</v>
      </c>
      <c r="F415" s="2" t="s">
        <v>14</v>
      </c>
      <c r="G415" s="2" t="s">
        <v>23</v>
      </c>
      <c r="H415" s="2">
        <v>71.0</v>
      </c>
      <c r="I415" s="5" t="str">
        <f>IFERROR(VLOOKUP($C415, merchants!$A$2:$D$41, 2, FALSE), "Merchant not found")</f>
        <v>Merchant_004</v>
      </c>
      <c r="J415" s="5" t="str">
        <f>IFERROR(VLOOKUP($C415, merchants!$A$2:$D$41, 3, FALSE), "Merchant not found")</f>
        <v>ecommerce</v>
      </c>
      <c r="K415" s="5" t="str">
        <f>IFERROR(VLOOKUP($C415, merchants!$A$2:$D$41, 4, FALSE), "Merchant not found")</f>
        <v>East</v>
      </c>
      <c r="Q415" s="5">
        <f t="shared" si="1"/>
        <v>1.5</v>
      </c>
      <c r="R415" s="6">
        <f t="shared" si="2"/>
        <v>46039</v>
      </c>
      <c r="S415" s="5">
        <f t="shared" si="3"/>
        <v>1499</v>
      </c>
      <c r="T415" s="5" t="str">
        <f t="shared" si="4"/>
        <v>Normal</v>
      </c>
    </row>
    <row r="416">
      <c r="A416" s="2" t="s">
        <v>533</v>
      </c>
      <c r="B416" s="2">
        <v>158.0</v>
      </c>
      <c r="C416" s="2">
        <v>2.0</v>
      </c>
      <c r="D416" s="4">
        <v>46037.910416666666</v>
      </c>
      <c r="E416" s="2">
        <v>1499.0</v>
      </c>
      <c r="F416" s="2" t="s">
        <v>14</v>
      </c>
      <c r="G416" s="2" t="s">
        <v>23</v>
      </c>
      <c r="H416" s="2">
        <v>50.0</v>
      </c>
      <c r="I416" s="5" t="str">
        <f>IFERROR(VLOOKUP($C416, merchants!$A$2:$D$41, 2, FALSE), "Merchant not found")</f>
        <v>Merchant_002</v>
      </c>
      <c r="J416" s="5" t="str">
        <f>IFERROR(VLOOKUP($C416, merchants!$A$2:$D$41, 3, FALSE), "Merchant not found")</f>
        <v>grocery</v>
      </c>
      <c r="K416" s="5" t="str">
        <f>IFERROR(VLOOKUP($C416, merchants!$A$2:$D$41, 4, FALSE), "Merchant not found")</f>
        <v>West</v>
      </c>
      <c r="Q416" s="5">
        <f t="shared" si="1"/>
        <v>1.5</v>
      </c>
      <c r="R416" s="6">
        <f t="shared" si="2"/>
        <v>46037</v>
      </c>
      <c r="S416" s="5">
        <f t="shared" si="3"/>
        <v>1499</v>
      </c>
      <c r="T416" s="5" t="str">
        <f t="shared" si="4"/>
        <v>Normal</v>
      </c>
    </row>
    <row r="417">
      <c r="A417" s="2" t="s">
        <v>534</v>
      </c>
      <c r="B417" s="2">
        <v>112.0</v>
      </c>
      <c r="C417" s="2">
        <v>38.0</v>
      </c>
      <c r="D417" s="4">
        <v>46031.032638888886</v>
      </c>
      <c r="E417" s="2">
        <v>49.0</v>
      </c>
      <c r="F417" s="2" t="s">
        <v>12</v>
      </c>
      <c r="G417" s="2" t="s">
        <v>23</v>
      </c>
      <c r="H417" s="2">
        <v>9.0</v>
      </c>
      <c r="I417" s="5" t="str">
        <f>IFERROR(VLOOKUP($C417, merchants!$A$2:$D$41, 2, FALSE), "Merchant not found")</f>
        <v>Merchant_038</v>
      </c>
      <c r="J417" s="5" t="str">
        <f>IFERROR(VLOOKUP($C417, merchants!$A$2:$D$41, 3, FALSE), "Merchant not found")</f>
        <v>grocery</v>
      </c>
      <c r="K417" s="5" t="str">
        <f>IFERROR(VLOOKUP($C417, merchants!$A$2:$D$41, 4, FALSE), "Merchant not found")</f>
        <v>East</v>
      </c>
      <c r="Q417" s="5">
        <f t="shared" si="1"/>
        <v>0.3</v>
      </c>
      <c r="R417" s="6">
        <f t="shared" si="2"/>
        <v>46031</v>
      </c>
      <c r="S417" s="5">
        <f t="shared" si="3"/>
        <v>348</v>
      </c>
      <c r="T417" s="5" t="str">
        <f t="shared" si="4"/>
        <v>Normal</v>
      </c>
    </row>
    <row r="418">
      <c r="A418" s="2" t="s">
        <v>535</v>
      </c>
      <c r="B418" s="2">
        <v>33.0</v>
      </c>
      <c r="C418" s="2">
        <v>35.0</v>
      </c>
      <c r="D418" s="4">
        <v>46024.55694444444</v>
      </c>
      <c r="E418" s="2">
        <v>299.0</v>
      </c>
      <c r="F418" s="2" t="s">
        <v>14</v>
      </c>
      <c r="G418" s="2" t="s">
        <v>61</v>
      </c>
      <c r="H418" s="2">
        <v>7.0</v>
      </c>
      <c r="I418" s="5" t="str">
        <f>IFERROR(VLOOKUP($C418, merchants!$A$2:$D$41, 2, FALSE), "Merchant not found")</f>
        <v>Merchant_035</v>
      </c>
      <c r="J418" s="5" t="str">
        <f>IFERROR(VLOOKUP($C418, merchants!$A$2:$D$41, 3, FALSE), "Merchant not found")</f>
        <v>recharge</v>
      </c>
      <c r="K418" s="5" t="str">
        <f>IFERROR(VLOOKUP($C418, merchants!$A$2:$D$41, 4, FALSE), "Merchant not found")</f>
        <v>East</v>
      </c>
      <c r="Q418" s="5">
        <f t="shared" si="1"/>
        <v>1.5</v>
      </c>
      <c r="R418" s="6">
        <f t="shared" si="2"/>
        <v>46024</v>
      </c>
      <c r="S418" s="5">
        <f t="shared" si="3"/>
        <v>1847</v>
      </c>
      <c r="T418" s="5" t="str">
        <f t="shared" si="4"/>
        <v>Normal</v>
      </c>
    </row>
    <row r="419">
      <c r="A419" s="2" t="s">
        <v>536</v>
      </c>
      <c r="B419" s="2">
        <v>242.0</v>
      </c>
      <c r="C419" s="2">
        <v>3.0</v>
      </c>
      <c r="D419" s="4">
        <v>46052.12430555555</v>
      </c>
      <c r="E419" s="2">
        <v>49.0</v>
      </c>
      <c r="F419" s="2" t="s">
        <v>12</v>
      </c>
      <c r="G419" s="2" t="s">
        <v>23</v>
      </c>
      <c r="H419" s="2">
        <v>36.0</v>
      </c>
      <c r="I419" s="5" t="str">
        <f>IFERROR(VLOOKUP($C419, merchants!$A$2:$D$41, 2, FALSE), "Merchant not found")</f>
        <v>Merchant_003</v>
      </c>
      <c r="J419" s="5" t="str">
        <f>IFERROR(VLOOKUP($C419, merchants!$A$2:$D$41, 3, FALSE), "Merchant not found")</f>
        <v>grocery</v>
      </c>
      <c r="K419" s="5" t="str">
        <f>IFERROR(VLOOKUP($C419, merchants!$A$2:$D$41, 4, FALSE), "Merchant not found")</f>
        <v>East</v>
      </c>
      <c r="Q419" s="5">
        <f t="shared" si="1"/>
        <v>0.3</v>
      </c>
      <c r="R419" s="6">
        <f t="shared" si="2"/>
        <v>46052</v>
      </c>
      <c r="S419" s="5">
        <f t="shared" si="3"/>
        <v>49</v>
      </c>
      <c r="T419" s="5" t="str">
        <f t="shared" si="4"/>
        <v>Normal</v>
      </c>
    </row>
    <row r="420">
      <c r="A420" s="2" t="s">
        <v>537</v>
      </c>
      <c r="B420" s="2">
        <v>70.0</v>
      </c>
      <c r="C420" s="2">
        <v>27.0</v>
      </c>
      <c r="D420" s="4">
        <v>46036.24236111111</v>
      </c>
      <c r="E420" s="2">
        <v>149.0</v>
      </c>
      <c r="F420" s="2" t="s">
        <v>12</v>
      </c>
      <c r="G420" s="2" t="s">
        <v>23</v>
      </c>
      <c r="H420" s="2">
        <v>47.0</v>
      </c>
      <c r="I420" s="5" t="str">
        <f>IFERROR(VLOOKUP($C420, merchants!$A$2:$D$41, 2, FALSE), "Merchant not found")</f>
        <v>Merchant_027</v>
      </c>
      <c r="J420" s="5" t="str">
        <f>IFERROR(VLOOKUP($C420, merchants!$A$2:$D$41, 3, FALSE), "Merchant not found")</f>
        <v>ecommerce</v>
      </c>
      <c r="K420" s="5" t="str">
        <f>IFERROR(VLOOKUP($C420, merchants!$A$2:$D$41, 4, FALSE), "Merchant not found")</f>
        <v>North</v>
      </c>
      <c r="Q420" s="5">
        <f t="shared" si="1"/>
        <v>0.3</v>
      </c>
      <c r="R420" s="6">
        <f t="shared" si="2"/>
        <v>46036</v>
      </c>
      <c r="S420" s="5">
        <f t="shared" si="3"/>
        <v>149</v>
      </c>
      <c r="T420" s="5" t="str">
        <f t="shared" si="4"/>
        <v>Normal</v>
      </c>
    </row>
    <row r="421">
      <c r="A421" s="2" t="s">
        <v>538</v>
      </c>
      <c r="B421" s="2">
        <v>194.0</v>
      </c>
      <c r="C421" s="2">
        <v>25.0</v>
      </c>
      <c r="D421" s="4">
        <v>46051.51944444444</v>
      </c>
      <c r="E421" s="2">
        <v>49.0</v>
      </c>
      <c r="F421" s="2" t="s">
        <v>13</v>
      </c>
      <c r="G421" s="2" t="s">
        <v>23</v>
      </c>
      <c r="H421" s="2">
        <v>10.0</v>
      </c>
      <c r="I421" s="5" t="str">
        <f>IFERROR(VLOOKUP($C421, merchants!$A$2:$D$41, 2, FALSE), "Merchant not found")</f>
        <v>Merchant_025</v>
      </c>
      <c r="J421" s="5" t="str">
        <f>IFERROR(VLOOKUP($C421, merchants!$A$2:$D$41, 3, FALSE), "Merchant not found")</f>
        <v>travel</v>
      </c>
      <c r="K421" s="5" t="str">
        <f>IFERROR(VLOOKUP($C421, merchants!$A$2:$D$41, 4, FALSE), "Merchant not found")</f>
        <v>South</v>
      </c>
      <c r="Q421" s="5">
        <f t="shared" si="1"/>
        <v>0.5</v>
      </c>
      <c r="R421" s="6">
        <f t="shared" si="2"/>
        <v>46051</v>
      </c>
      <c r="S421" s="5">
        <f t="shared" si="3"/>
        <v>3048</v>
      </c>
      <c r="T421" s="5" t="str">
        <f t="shared" si="4"/>
        <v>Normal</v>
      </c>
    </row>
    <row r="422">
      <c r="A422" s="2" t="s">
        <v>539</v>
      </c>
      <c r="B422" s="2">
        <v>277.0</v>
      </c>
      <c r="C422" s="2">
        <v>9.0</v>
      </c>
      <c r="D422" s="4">
        <v>46044.913194444445</v>
      </c>
      <c r="E422" s="2">
        <v>799.0</v>
      </c>
      <c r="F422" s="2" t="s">
        <v>12</v>
      </c>
      <c r="G422" s="2" t="s">
        <v>23</v>
      </c>
      <c r="H422" s="2">
        <v>83.0</v>
      </c>
      <c r="I422" s="5" t="str">
        <f>IFERROR(VLOOKUP($C422, merchants!$A$2:$D$41, 2, FALSE), "Merchant not found")</f>
        <v>Merchant_009</v>
      </c>
      <c r="J422" s="5" t="str">
        <f>IFERROR(VLOOKUP($C422, merchants!$A$2:$D$41, 3, FALSE), "Merchant not found")</f>
        <v>ecommerce</v>
      </c>
      <c r="K422" s="5" t="str">
        <f>IFERROR(VLOOKUP($C422, merchants!$A$2:$D$41, 4, FALSE), "Merchant not found")</f>
        <v>North</v>
      </c>
      <c r="Q422" s="5">
        <f t="shared" si="1"/>
        <v>0.3</v>
      </c>
      <c r="R422" s="6">
        <f t="shared" si="2"/>
        <v>46044</v>
      </c>
      <c r="S422" s="5">
        <f t="shared" si="3"/>
        <v>1298</v>
      </c>
      <c r="T422" s="5" t="str">
        <f t="shared" si="4"/>
        <v>Normal</v>
      </c>
    </row>
    <row r="423">
      <c r="A423" s="2" t="s">
        <v>540</v>
      </c>
      <c r="B423" s="2">
        <v>92.0</v>
      </c>
      <c r="C423" s="2">
        <v>35.0</v>
      </c>
      <c r="D423" s="4">
        <v>46050.46319444444</v>
      </c>
      <c r="E423" s="2">
        <v>49.0</v>
      </c>
      <c r="F423" s="2" t="s">
        <v>12</v>
      </c>
      <c r="G423" s="2" t="s">
        <v>23</v>
      </c>
      <c r="H423" s="2">
        <v>50.0</v>
      </c>
      <c r="I423" s="5" t="str">
        <f>IFERROR(VLOOKUP($C423, merchants!$A$2:$D$41, 2, FALSE), "Merchant not found")</f>
        <v>Merchant_035</v>
      </c>
      <c r="J423" s="5" t="str">
        <f>IFERROR(VLOOKUP($C423, merchants!$A$2:$D$41, 3, FALSE), "Merchant not found")</f>
        <v>recharge</v>
      </c>
      <c r="K423" s="5" t="str">
        <f>IFERROR(VLOOKUP($C423, merchants!$A$2:$D$41, 4, FALSE), "Merchant not found")</f>
        <v>East</v>
      </c>
      <c r="Q423" s="5">
        <f t="shared" si="1"/>
        <v>0.3</v>
      </c>
      <c r="R423" s="6">
        <f t="shared" si="2"/>
        <v>46050</v>
      </c>
      <c r="S423" s="5">
        <f t="shared" si="3"/>
        <v>49</v>
      </c>
      <c r="T423" s="5" t="str">
        <f t="shared" si="4"/>
        <v>Normal</v>
      </c>
    </row>
    <row r="424">
      <c r="A424" s="2" t="s">
        <v>541</v>
      </c>
      <c r="B424" s="2">
        <v>115.0</v>
      </c>
      <c r="C424" s="2">
        <v>1.0</v>
      </c>
      <c r="D424" s="4">
        <v>46039.19861111111</v>
      </c>
      <c r="E424" s="2">
        <v>149.0</v>
      </c>
      <c r="F424" s="2" t="s">
        <v>13</v>
      </c>
      <c r="G424" s="2" t="s">
        <v>23</v>
      </c>
      <c r="H424" s="2">
        <v>96.0</v>
      </c>
      <c r="I424" s="5" t="str">
        <f>IFERROR(VLOOKUP($C424, merchants!$A$2:$D$41, 2, FALSE), "Merchant not found")</f>
        <v>Merchant_001</v>
      </c>
      <c r="J424" s="5" t="str">
        <f>IFERROR(VLOOKUP($C424, merchants!$A$2:$D$41, 3, FALSE), "Merchant not found")</f>
        <v>ecommerce</v>
      </c>
      <c r="K424" s="5" t="str">
        <f>IFERROR(VLOOKUP($C424, merchants!$A$2:$D$41, 4, FALSE), "Merchant not found")</f>
        <v>South</v>
      </c>
      <c r="Q424" s="5">
        <f t="shared" si="1"/>
        <v>0.5</v>
      </c>
      <c r="R424" s="6">
        <f t="shared" si="2"/>
        <v>46039</v>
      </c>
      <c r="S424" s="5">
        <f t="shared" si="3"/>
        <v>149</v>
      </c>
      <c r="T424" s="5" t="str">
        <f t="shared" si="4"/>
        <v>Normal</v>
      </c>
    </row>
    <row r="425">
      <c r="A425" s="2" t="s">
        <v>542</v>
      </c>
      <c r="B425" s="2">
        <v>345.0</v>
      </c>
      <c r="C425" s="2">
        <v>35.0</v>
      </c>
      <c r="D425" s="4">
        <v>46023.39513888889</v>
      </c>
      <c r="E425" s="2">
        <v>499.0</v>
      </c>
      <c r="F425" s="2" t="s">
        <v>14</v>
      </c>
      <c r="G425" s="2" t="s">
        <v>23</v>
      </c>
      <c r="H425" s="2">
        <v>54.0</v>
      </c>
      <c r="I425" s="5" t="str">
        <f>IFERROR(VLOOKUP($C425, merchants!$A$2:$D$41, 2, FALSE), "Merchant not found")</f>
        <v>Merchant_035</v>
      </c>
      <c r="J425" s="5" t="str">
        <f>IFERROR(VLOOKUP($C425, merchants!$A$2:$D$41, 3, FALSE), "Merchant not found")</f>
        <v>recharge</v>
      </c>
      <c r="K425" s="5" t="str">
        <f>IFERROR(VLOOKUP($C425, merchants!$A$2:$D$41, 4, FALSE), "Merchant not found")</f>
        <v>East</v>
      </c>
      <c r="Q425" s="5">
        <f t="shared" si="1"/>
        <v>1.5</v>
      </c>
      <c r="R425" s="6">
        <f t="shared" si="2"/>
        <v>46023</v>
      </c>
      <c r="S425" s="5">
        <f t="shared" si="3"/>
        <v>798</v>
      </c>
      <c r="T425" s="5" t="str">
        <f t="shared" si="4"/>
        <v>Normal</v>
      </c>
    </row>
    <row r="426">
      <c r="A426" s="2" t="s">
        <v>543</v>
      </c>
      <c r="B426" s="2">
        <v>118.0</v>
      </c>
      <c r="C426" s="2">
        <v>16.0</v>
      </c>
      <c r="D426" s="4">
        <v>46040.53611111111</v>
      </c>
      <c r="E426" s="2">
        <v>49.0</v>
      </c>
      <c r="F426" s="2" t="s">
        <v>12</v>
      </c>
      <c r="G426" s="2" t="s">
        <v>23</v>
      </c>
      <c r="H426" s="2">
        <v>58.0</v>
      </c>
      <c r="I426" s="5" t="str">
        <f>IFERROR(VLOOKUP($C426, merchants!$A$2:$D$41, 2, FALSE), "Merchant not found")</f>
        <v>Merchant_016</v>
      </c>
      <c r="J426" s="5" t="str">
        <f>IFERROR(VLOOKUP($C426, merchants!$A$2:$D$41, 3, FALSE), "Merchant not found")</f>
        <v>bill_payment</v>
      </c>
      <c r="K426" s="5" t="str">
        <f>IFERROR(VLOOKUP($C426, merchants!$A$2:$D$41, 4, FALSE), "Merchant not found")</f>
        <v>West</v>
      </c>
      <c r="Q426" s="5">
        <f t="shared" si="1"/>
        <v>0.3</v>
      </c>
      <c r="R426" s="6">
        <f t="shared" si="2"/>
        <v>46040</v>
      </c>
      <c r="S426" s="5">
        <f t="shared" si="3"/>
        <v>49</v>
      </c>
      <c r="T426" s="5" t="str">
        <f t="shared" si="4"/>
        <v>Normal</v>
      </c>
    </row>
    <row r="427">
      <c r="A427" s="2" t="s">
        <v>544</v>
      </c>
      <c r="B427" s="2">
        <v>97.0</v>
      </c>
      <c r="C427" s="2">
        <v>8.0</v>
      </c>
      <c r="D427" s="4">
        <v>46034.17847222222</v>
      </c>
      <c r="E427" s="2">
        <v>99.0</v>
      </c>
      <c r="F427" s="2" t="s">
        <v>15</v>
      </c>
      <c r="G427" s="2" t="s">
        <v>23</v>
      </c>
      <c r="H427" s="2">
        <v>4.0</v>
      </c>
      <c r="I427" s="5" t="str">
        <f>IFERROR(VLOOKUP($C427, merchants!$A$2:$D$41, 2, FALSE), "Merchant not found")</f>
        <v>Merchant_008</v>
      </c>
      <c r="J427" s="5" t="str">
        <f>IFERROR(VLOOKUP($C427, merchants!$A$2:$D$41, 3, FALSE), "Merchant not found")</f>
        <v>food_delivery</v>
      </c>
      <c r="K427" s="5" t="str">
        <f>IFERROR(VLOOKUP($C427, merchants!$A$2:$D$41, 4, FALSE), "Merchant not found")</f>
        <v>North</v>
      </c>
      <c r="Q427" s="5">
        <f t="shared" si="1"/>
        <v>0.9</v>
      </c>
      <c r="R427" s="6">
        <f t="shared" si="2"/>
        <v>46034</v>
      </c>
      <c r="S427" s="5">
        <f t="shared" si="3"/>
        <v>398</v>
      </c>
      <c r="T427" s="5" t="str">
        <f t="shared" si="4"/>
        <v>Normal</v>
      </c>
    </row>
    <row r="428">
      <c r="A428" s="2" t="s">
        <v>545</v>
      </c>
      <c r="B428" s="2">
        <v>315.0</v>
      </c>
      <c r="C428" s="2">
        <v>2.0</v>
      </c>
      <c r="D428" s="4">
        <v>46048.893055555556</v>
      </c>
      <c r="E428" s="2">
        <v>299.0</v>
      </c>
      <c r="F428" s="2" t="s">
        <v>13</v>
      </c>
      <c r="G428" s="2" t="s">
        <v>23</v>
      </c>
      <c r="H428" s="2">
        <v>30.0</v>
      </c>
      <c r="I428" s="5" t="str">
        <f>IFERROR(VLOOKUP($C428, merchants!$A$2:$D$41, 2, FALSE), "Merchant not found")</f>
        <v>Merchant_002</v>
      </c>
      <c r="J428" s="5" t="str">
        <f>IFERROR(VLOOKUP($C428, merchants!$A$2:$D$41, 3, FALSE), "Merchant not found")</f>
        <v>grocery</v>
      </c>
      <c r="K428" s="5" t="str">
        <f>IFERROR(VLOOKUP($C428, merchants!$A$2:$D$41, 4, FALSE), "Merchant not found")</f>
        <v>West</v>
      </c>
      <c r="Q428" s="5">
        <f t="shared" si="1"/>
        <v>0.5</v>
      </c>
      <c r="R428" s="6">
        <f t="shared" si="2"/>
        <v>46048</v>
      </c>
      <c r="S428" s="5">
        <f t="shared" si="3"/>
        <v>299</v>
      </c>
      <c r="T428" s="5" t="str">
        <f t="shared" si="4"/>
        <v>Normal</v>
      </c>
    </row>
    <row r="429">
      <c r="A429" s="2" t="s">
        <v>546</v>
      </c>
      <c r="B429" s="2">
        <v>305.0</v>
      </c>
      <c r="C429" s="2">
        <v>3.0</v>
      </c>
      <c r="D429" s="4">
        <v>46029.0875</v>
      </c>
      <c r="E429" s="2">
        <v>299.0</v>
      </c>
      <c r="F429" s="2" t="s">
        <v>12</v>
      </c>
      <c r="G429" s="2" t="s">
        <v>23</v>
      </c>
      <c r="H429" s="2">
        <v>57.0</v>
      </c>
      <c r="I429" s="5" t="str">
        <f>IFERROR(VLOOKUP($C429, merchants!$A$2:$D$41, 2, FALSE), "Merchant not found")</f>
        <v>Merchant_003</v>
      </c>
      <c r="J429" s="5" t="str">
        <f>IFERROR(VLOOKUP($C429, merchants!$A$2:$D$41, 3, FALSE), "Merchant not found")</f>
        <v>grocery</v>
      </c>
      <c r="K429" s="5" t="str">
        <f>IFERROR(VLOOKUP($C429, merchants!$A$2:$D$41, 4, FALSE), "Merchant not found")</f>
        <v>East</v>
      </c>
      <c r="Q429" s="5">
        <f t="shared" si="1"/>
        <v>0.3</v>
      </c>
      <c r="R429" s="6">
        <f t="shared" si="2"/>
        <v>46029</v>
      </c>
      <c r="S429" s="5">
        <f t="shared" si="3"/>
        <v>798</v>
      </c>
      <c r="T429" s="5" t="str">
        <f t="shared" si="4"/>
        <v>Normal</v>
      </c>
    </row>
    <row r="430">
      <c r="A430" s="2" t="s">
        <v>547</v>
      </c>
      <c r="B430" s="2">
        <v>25.0</v>
      </c>
      <c r="C430" s="2">
        <v>16.0</v>
      </c>
      <c r="D430" s="4">
        <v>46042.90625</v>
      </c>
      <c r="E430" s="2">
        <v>299.0</v>
      </c>
      <c r="F430" s="2" t="s">
        <v>12</v>
      </c>
      <c r="G430" s="2" t="s">
        <v>23</v>
      </c>
      <c r="H430" s="2">
        <v>94.0</v>
      </c>
      <c r="I430" s="5" t="str">
        <f>IFERROR(VLOOKUP($C430, merchants!$A$2:$D$41, 2, FALSE), "Merchant not found")</f>
        <v>Merchant_016</v>
      </c>
      <c r="J430" s="5" t="str">
        <f>IFERROR(VLOOKUP($C430, merchants!$A$2:$D$41, 3, FALSE), "Merchant not found")</f>
        <v>bill_payment</v>
      </c>
      <c r="K430" s="5" t="str">
        <f>IFERROR(VLOOKUP($C430, merchants!$A$2:$D$41, 4, FALSE), "Merchant not found")</f>
        <v>West</v>
      </c>
      <c r="Q430" s="5">
        <f t="shared" si="1"/>
        <v>0.3</v>
      </c>
      <c r="R430" s="6">
        <f t="shared" si="2"/>
        <v>46042</v>
      </c>
      <c r="S430" s="5">
        <f t="shared" si="3"/>
        <v>448</v>
      </c>
      <c r="T430" s="5" t="str">
        <f t="shared" si="4"/>
        <v>Normal</v>
      </c>
    </row>
    <row r="431">
      <c r="A431" s="2" t="s">
        <v>548</v>
      </c>
      <c r="B431" s="2">
        <v>120.0</v>
      </c>
      <c r="C431" s="2">
        <v>35.0</v>
      </c>
      <c r="D431" s="4">
        <v>46024.51944444444</v>
      </c>
      <c r="E431" s="2">
        <v>49.0</v>
      </c>
      <c r="F431" s="2" t="s">
        <v>12</v>
      </c>
      <c r="G431" s="2" t="s">
        <v>23</v>
      </c>
      <c r="H431" s="2">
        <v>27.0</v>
      </c>
      <c r="I431" s="5" t="str">
        <f>IFERROR(VLOOKUP($C431, merchants!$A$2:$D$41, 2, FALSE), "Merchant not found")</f>
        <v>Merchant_035</v>
      </c>
      <c r="J431" s="5" t="str">
        <f>IFERROR(VLOOKUP($C431, merchants!$A$2:$D$41, 3, FALSE), "Merchant not found")</f>
        <v>recharge</v>
      </c>
      <c r="K431" s="5" t="str">
        <f>IFERROR(VLOOKUP($C431, merchants!$A$2:$D$41, 4, FALSE), "Merchant not found")</f>
        <v>East</v>
      </c>
      <c r="Q431" s="5">
        <f t="shared" si="1"/>
        <v>0.3</v>
      </c>
      <c r="R431" s="6">
        <f t="shared" si="2"/>
        <v>46024</v>
      </c>
      <c r="S431" s="5">
        <f t="shared" si="3"/>
        <v>1847</v>
      </c>
      <c r="T431" s="5" t="str">
        <f t="shared" si="4"/>
        <v>Normal</v>
      </c>
    </row>
    <row r="432">
      <c r="A432" s="2" t="s">
        <v>549</v>
      </c>
      <c r="B432" s="2">
        <v>258.0</v>
      </c>
      <c r="C432" s="2">
        <v>19.0</v>
      </c>
      <c r="D432" s="4">
        <v>46047.04722222222</v>
      </c>
      <c r="E432" s="2">
        <v>49.0</v>
      </c>
      <c r="F432" s="2" t="s">
        <v>13</v>
      </c>
      <c r="G432" s="2" t="s">
        <v>23</v>
      </c>
      <c r="H432" s="2">
        <v>29.0</v>
      </c>
      <c r="I432" s="5" t="str">
        <f>IFERROR(VLOOKUP($C432, merchants!$A$2:$D$41, 2, FALSE), "Merchant not found")</f>
        <v>Merchant_019</v>
      </c>
      <c r="J432" s="5" t="str">
        <f>IFERROR(VLOOKUP($C432, merchants!$A$2:$D$41, 3, FALSE), "Merchant not found")</f>
        <v>grocery</v>
      </c>
      <c r="K432" s="5" t="str">
        <f>IFERROR(VLOOKUP($C432, merchants!$A$2:$D$41, 4, FALSE), "Merchant not found")</f>
        <v>North</v>
      </c>
      <c r="Q432" s="5">
        <f t="shared" si="1"/>
        <v>0.5</v>
      </c>
      <c r="R432" s="6">
        <f t="shared" si="2"/>
        <v>46047</v>
      </c>
      <c r="S432" s="5">
        <f t="shared" si="3"/>
        <v>49</v>
      </c>
      <c r="T432" s="5" t="str">
        <f t="shared" si="4"/>
        <v>Normal</v>
      </c>
    </row>
    <row r="433">
      <c r="A433" s="2" t="s">
        <v>550</v>
      </c>
      <c r="B433" s="2">
        <v>164.0</v>
      </c>
      <c r="C433" s="2">
        <v>37.0</v>
      </c>
      <c r="D433" s="4">
        <v>46049.98333333333</v>
      </c>
      <c r="E433" s="2">
        <v>799.0</v>
      </c>
      <c r="F433" s="2" t="s">
        <v>12</v>
      </c>
      <c r="G433" s="2" t="s">
        <v>23</v>
      </c>
      <c r="H433" s="2">
        <v>76.0</v>
      </c>
      <c r="I433" s="5" t="str">
        <f>IFERROR(VLOOKUP($C433, merchants!$A$2:$D$41, 2, FALSE), "Merchant not found")</f>
        <v>Merchant_037</v>
      </c>
      <c r="J433" s="5" t="str">
        <f>IFERROR(VLOOKUP($C433, merchants!$A$2:$D$41, 3, FALSE), "Merchant not found")</f>
        <v>entertainment</v>
      </c>
      <c r="K433" s="5" t="str">
        <f>IFERROR(VLOOKUP($C433, merchants!$A$2:$D$41, 4, FALSE), "Merchant not found")</f>
        <v>South</v>
      </c>
      <c r="Q433" s="5">
        <f t="shared" si="1"/>
        <v>0.3</v>
      </c>
      <c r="R433" s="6">
        <f t="shared" si="2"/>
        <v>46049</v>
      </c>
      <c r="S433" s="5">
        <f t="shared" si="3"/>
        <v>799</v>
      </c>
      <c r="T433" s="5" t="str">
        <f t="shared" si="4"/>
        <v>Normal</v>
      </c>
    </row>
    <row r="434">
      <c r="A434" s="2" t="s">
        <v>551</v>
      </c>
      <c r="B434" s="2">
        <v>165.0</v>
      </c>
      <c r="C434" s="2">
        <v>16.0</v>
      </c>
      <c r="D434" s="4">
        <v>46047.91111111111</v>
      </c>
      <c r="E434" s="2">
        <v>49.0</v>
      </c>
      <c r="F434" s="2" t="s">
        <v>13</v>
      </c>
      <c r="G434" s="2" t="s">
        <v>23</v>
      </c>
      <c r="H434" s="2">
        <v>38.0</v>
      </c>
      <c r="I434" s="5" t="str">
        <f>IFERROR(VLOOKUP($C434, merchants!$A$2:$D$41, 2, FALSE), "Merchant not found")</f>
        <v>Merchant_016</v>
      </c>
      <c r="J434" s="5" t="str">
        <f>IFERROR(VLOOKUP($C434, merchants!$A$2:$D$41, 3, FALSE), "Merchant not found")</f>
        <v>bill_payment</v>
      </c>
      <c r="K434" s="5" t="str">
        <f>IFERROR(VLOOKUP($C434, merchants!$A$2:$D$41, 4, FALSE), "Merchant not found")</f>
        <v>West</v>
      </c>
      <c r="Q434" s="5">
        <f t="shared" si="1"/>
        <v>0.5</v>
      </c>
      <c r="R434" s="6">
        <f t="shared" si="2"/>
        <v>46047</v>
      </c>
      <c r="S434" s="5">
        <f t="shared" si="3"/>
        <v>98</v>
      </c>
      <c r="T434" s="5" t="str">
        <f t="shared" si="4"/>
        <v>Normal</v>
      </c>
    </row>
    <row r="435">
      <c r="A435" s="2" t="s">
        <v>552</v>
      </c>
      <c r="B435" s="2">
        <v>267.0</v>
      </c>
      <c r="C435" s="2">
        <v>15.0</v>
      </c>
      <c r="D435" s="4">
        <v>46051.19583333333</v>
      </c>
      <c r="E435" s="2">
        <v>49.0</v>
      </c>
      <c r="F435" s="2" t="s">
        <v>15</v>
      </c>
      <c r="G435" s="2" t="s">
        <v>23</v>
      </c>
      <c r="H435" s="2">
        <v>52.0</v>
      </c>
      <c r="I435" s="5" t="str">
        <f>IFERROR(VLOOKUP($C435, merchants!$A$2:$D$41, 2, FALSE), "Merchant not found")</f>
        <v>Merchant_015</v>
      </c>
      <c r="J435" s="5" t="str">
        <f>IFERROR(VLOOKUP($C435, merchants!$A$2:$D$41, 3, FALSE), "Merchant not found")</f>
        <v>travel</v>
      </c>
      <c r="K435" s="5" t="str">
        <f>IFERROR(VLOOKUP($C435, merchants!$A$2:$D$41, 4, FALSE), "Merchant not found")</f>
        <v>North</v>
      </c>
      <c r="Q435" s="5">
        <f t="shared" si="1"/>
        <v>0.9</v>
      </c>
      <c r="R435" s="6">
        <f t="shared" si="2"/>
        <v>46051</v>
      </c>
      <c r="S435" s="5">
        <f t="shared" si="3"/>
        <v>98</v>
      </c>
      <c r="T435" s="5" t="str">
        <f t="shared" si="4"/>
        <v>Normal</v>
      </c>
    </row>
    <row r="436">
      <c r="A436" s="2" t="s">
        <v>553</v>
      </c>
      <c r="B436" s="2">
        <v>286.0</v>
      </c>
      <c r="C436" s="2">
        <v>38.0</v>
      </c>
      <c r="D436" s="4">
        <v>46032.33541666667</v>
      </c>
      <c r="E436" s="2">
        <v>299.0</v>
      </c>
      <c r="F436" s="2" t="s">
        <v>13</v>
      </c>
      <c r="G436" s="2" t="s">
        <v>23</v>
      </c>
      <c r="H436" s="2">
        <v>94.0</v>
      </c>
      <c r="I436" s="5" t="str">
        <f>IFERROR(VLOOKUP($C436, merchants!$A$2:$D$41, 2, FALSE), "Merchant not found")</f>
        <v>Merchant_038</v>
      </c>
      <c r="J436" s="5" t="str">
        <f>IFERROR(VLOOKUP($C436, merchants!$A$2:$D$41, 3, FALSE), "Merchant not found")</f>
        <v>grocery</v>
      </c>
      <c r="K436" s="5" t="str">
        <f>IFERROR(VLOOKUP($C436, merchants!$A$2:$D$41, 4, FALSE), "Merchant not found")</f>
        <v>East</v>
      </c>
      <c r="Q436" s="5">
        <f t="shared" si="1"/>
        <v>0.5</v>
      </c>
      <c r="R436" s="6">
        <f t="shared" si="2"/>
        <v>46032</v>
      </c>
      <c r="S436" s="5">
        <f t="shared" si="3"/>
        <v>398</v>
      </c>
      <c r="T436" s="5" t="str">
        <f t="shared" si="4"/>
        <v>Normal</v>
      </c>
    </row>
    <row r="437">
      <c r="A437" s="2" t="s">
        <v>554</v>
      </c>
      <c r="B437" s="2">
        <v>348.0</v>
      </c>
      <c r="C437" s="2">
        <v>28.0</v>
      </c>
      <c r="D437" s="4">
        <v>46052.23611111111</v>
      </c>
      <c r="E437" s="2">
        <v>499.0</v>
      </c>
      <c r="F437" s="2" t="s">
        <v>14</v>
      </c>
      <c r="G437" s="2" t="s">
        <v>23</v>
      </c>
      <c r="H437" s="2">
        <v>71.0</v>
      </c>
      <c r="I437" s="5" t="str">
        <f>IFERROR(VLOOKUP($C437, merchants!$A$2:$D$41, 2, FALSE), "Merchant not found")</f>
        <v>Merchant_028</v>
      </c>
      <c r="J437" s="5" t="str">
        <f>IFERROR(VLOOKUP($C437, merchants!$A$2:$D$41, 3, FALSE), "Merchant not found")</f>
        <v>ecommerce</v>
      </c>
      <c r="K437" s="5" t="str">
        <f>IFERROR(VLOOKUP($C437, merchants!$A$2:$D$41, 4, FALSE), "Merchant not found")</f>
        <v>South</v>
      </c>
      <c r="Q437" s="5">
        <f t="shared" si="1"/>
        <v>1.5</v>
      </c>
      <c r="R437" s="6">
        <f t="shared" si="2"/>
        <v>46052</v>
      </c>
      <c r="S437" s="5">
        <f t="shared" si="3"/>
        <v>499</v>
      </c>
      <c r="T437" s="5" t="str">
        <f t="shared" si="4"/>
        <v>Normal</v>
      </c>
    </row>
    <row r="438">
      <c r="A438" s="2" t="s">
        <v>555</v>
      </c>
      <c r="B438" s="2">
        <v>330.0</v>
      </c>
      <c r="C438" s="2">
        <v>25.0</v>
      </c>
      <c r="D438" s="4">
        <v>46038.05694444444</v>
      </c>
      <c r="E438" s="2">
        <v>799.0</v>
      </c>
      <c r="F438" s="2" t="s">
        <v>12</v>
      </c>
      <c r="G438" s="2" t="s">
        <v>23</v>
      </c>
      <c r="H438" s="2">
        <v>100.0</v>
      </c>
      <c r="I438" s="5" t="str">
        <f>IFERROR(VLOOKUP($C438, merchants!$A$2:$D$41, 2, FALSE), "Merchant not found")</f>
        <v>Merchant_025</v>
      </c>
      <c r="J438" s="5" t="str">
        <f>IFERROR(VLOOKUP($C438, merchants!$A$2:$D$41, 3, FALSE), "Merchant not found")</f>
        <v>travel</v>
      </c>
      <c r="K438" s="5" t="str">
        <f>IFERROR(VLOOKUP($C438, merchants!$A$2:$D$41, 4, FALSE), "Merchant not found")</f>
        <v>South</v>
      </c>
      <c r="Q438" s="5">
        <f t="shared" si="1"/>
        <v>0.3</v>
      </c>
      <c r="R438" s="6">
        <f t="shared" si="2"/>
        <v>46038</v>
      </c>
      <c r="S438" s="5">
        <f t="shared" si="3"/>
        <v>799</v>
      </c>
      <c r="T438" s="5" t="str">
        <f t="shared" si="4"/>
        <v>Normal</v>
      </c>
    </row>
    <row r="439">
      <c r="A439" s="2" t="s">
        <v>556</v>
      </c>
      <c r="B439" s="2">
        <v>214.0</v>
      </c>
      <c r="C439" s="2">
        <v>27.0</v>
      </c>
      <c r="D439" s="4">
        <v>46039.447222222225</v>
      </c>
      <c r="E439" s="2">
        <v>299.0</v>
      </c>
      <c r="F439" s="2" t="s">
        <v>14</v>
      </c>
      <c r="G439" s="2" t="s">
        <v>23</v>
      </c>
      <c r="H439" s="2">
        <v>19.0</v>
      </c>
      <c r="I439" s="5" t="str">
        <f>IFERROR(VLOOKUP($C439, merchants!$A$2:$D$41, 2, FALSE), "Merchant not found")</f>
        <v>Merchant_027</v>
      </c>
      <c r="J439" s="5" t="str">
        <f>IFERROR(VLOOKUP($C439, merchants!$A$2:$D$41, 3, FALSE), "Merchant not found")</f>
        <v>ecommerce</v>
      </c>
      <c r="K439" s="5" t="str">
        <f>IFERROR(VLOOKUP($C439, merchants!$A$2:$D$41, 4, FALSE), "Merchant not found")</f>
        <v>North</v>
      </c>
      <c r="Q439" s="5">
        <f t="shared" si="1"/>
        <v>1.5</v>
      </c>
      <c r="R439" s="6">
        <f t="shared" si="2"/>
        <v>46039</v>
      </c>
      <c r="S439" s="5">
        <f t="shared" si="3"/>
        <v>1597</v>
      </c>
      <c r="T439" s="5" t="str">
        <f t="shared" si="4"/>
        <v>Normal</v>
      </c>
    </row>
    <row r="440">
      <c r="A440" s="2" t="s">
        <v>557</v>
      </c>
      <c r="B440" s="2">
        <v>276.0</v>
      </c>
      <c r="C440" s="2">
        <v>31.0</v>
      </c>
      <c r="D440" s="4">
        <v>46032.50763888889</v>
      </c>
      <c r="E440" s="2">
        <v>499.0</v>
      </c>
      <c r="F440" s="2" t="s">
        <v>12</v>
      </c>
      <c r="G440" s="2" t="s">
        <v>23</v>
      </c>
      <c r="H440" s="2">
        <v>30.0</v>
      </c>
      <c r="I440" s="5" t="str">
        <f>IFERROR(VLOOKUP($C440, merchants!$A$2:$D$41, 2, FALSE), "Merchant not found")</f>
        <v>Merchant_031</v>
      </c>
      <c r="J440" s="5" t="str">
        <f>IFERROR(VLOOKUP($C440, merchants!$A$2:$D$41, 3, FALSE), "Merchant not found")</f>
        <v>bill_payment</v>
      </c>
      <c r="K440" s="5" t="str">
        <f>IFERROR(VLOOKUP($C440, merchants!$A$2:$D$41, 4, FALSE), "Merchant not found")</f>
        <v>East</v>
      </c>
      <c r="Q440" s="5">
        <f t="shared" si="1"/>
        <v>0.3</v>
      </c>
      <c r="R440" s="6">
        <f t="shared" si="2"/>
        <v>46032</v>
      </c>
      <c r="S440" s="5">
        <f t="shared" si="3"/>
        <v>499</v>
      </c>
      <c r="T440" s="5" t="str">
        <f t="shared" si="4"/>
        <v>Normal</v>
      </c>
    </row>
    <row r="441">
      <c r="A441" s="2" t="s">
        <v>558</v>
      </c>
      <c r="B441" s="2">
        <v>74.0</v>
      </c>
      <c r="C441" s="2">
        <v>30.0</v>
      </c>
      <c r="D441" s="4">
        <v>46050.30486111111</v>
      </c>
      <c r="E441" s="2">
        <v>49.0</v>
      </c>
      <c r="F441" s="2" t="s">
        <v>12</v>
      </c>
      <c r="G441" s="2" t="s">
        <v>23</v>
      </c>
      <c r="H441" s="2">
        <v>7.0</v>
      </c>
      <c r="I441" s="5" t="str">
        <f>IFERROR(VLOOKUP($C441, merchants!$A$2:$D$41, 2, FALSE), "Merchant not found")</f>
        <v>Merchant_030</v>
      </c>
      <c r="J441" s="5" t="str">
        <f>IFERROR(VLOOKUP($C441, merchants!$A$2:$D$41, 3, FALSE), "Merchant not found")</f>
        <v>travel</v>
      </c>
      <c r="K441" s="5" t="str">
        <f>IFERROR(VLOOKUP($C441, merchants!$A$2:$D$41, 4, FALSE), "Merchant not found")</f>
        <v>West</v>
      </c>
      <c r="Q441" s="5">
        <f t="shared" si="1"/>
        <v>0.3</v>
      </c>
      <c r="R441" s="6">
        <f t="shared" si="2"/>
        <v>46050</v>
      </c>
      <c r="S441" s="5">
        <f t="shared" si="3"/>
        <v>49</v>
      </c>
      <c r="T441" s="5" t="str">
        <f t="shared" si="4"/>
        <v>Normal</v>
      </c>
    </row>
    <row r="442">
      <c r="A442" s="2" t="s">
        <v>559</v>
      </c>
      <c r="B442" s="2">
        <v>286.0</v>
      </c>
      <c r="C442" s="2">
        <v>34.0</v>
      </c>
      <c r="D442" s="4">
        <v>46040.55972222222</v>
      </c>
      <c r="E442" s="2">
        <v>49.0</v>
      </c>
      <c r="F442" s="2" t="s">
        <v>14</v>
      </c>
      <c r="G442" s="2" t="s">
        <v>23</v>
      </c>
      <c r="H442" s="2">
        <v>17.0</v>
      </c>
      <c r="I442" s="5" t="str">
        <f>IFERROR(VLOOKUP($C442, merchants!$A$2:$D$41, 2, FALSE), "Merchant not found")</f>
        <v>Merchant_034</v>
      </c>
      <c r="J442" s="5" t="str">
        <f>IFERROR(VLOOKUP($C442, merchants!$A$2:$D$41, 3, FALSE), "Merchant not found")</f>
        <v>travel</v>
      </c>
      <c r="K442" s="5" t="str">
        <f>IFERROR(VLOOKUP($C442, merchants!$A$2:$D$41, 4, FALSE), "Merchant not found")</f>
        <v>South</v>
      </c>
      <c r="Q442" s="5">
        <f t="shared" si="1"/>
        <v>1.5</v>
      </c>
      <c r="R442" s="6">
        <f t="shared" si="2"/>
        <v>46040</v>
      </c>
      <c r="S442" s="5">
        <f t="shared" si="3"/>
        <v>148</v>
      </c>
      <c r="T442" s="5" t="str">
        <f t="shared" si="4"/>
        <v>Normal</v>
      </c>
    </row>
    <row r="443">
      <c r="A443" s="2" t="s">
        <v>560</v>
      </c>
      <c r="B443" s="2">
        <v>105.0</v>
      </c>
      <c r="C443" s="2">
        <v>22.0</v>
      </c>
      <c r="D443" s="4">
        <v>46035.302777777775</v>
      </c>
      <c r="E443" s="2">
        <v>4999.0</v>
      </c>
      <c r="F443" s="2" t="s">
        <v>12</v>
      </c>
      <c r="G443" s="2" t="s">
        <v>23</v>
      </c>
      <c r="H443" s="2">
        <v>82.0</v>
      </c>
      <c r="I443" s="5" t="str">
        <f>IFERROR(VLOOKUP($C443, merchants!$A$2:$D$41, 2, FALSE), "Merchant not found")</f>
        <v>Merchant_022</v>
      </c>
      <c r="J443" s="5" t="str">
        <f>IFERROR(VLOOKUP($C443, merchants!$A$2:$D$41, 3, FALSE), "Merchant not found")</f>
        <v>travel</v>
      </c>
      <c r="K443" s="5" t="str">
        <f>IFERROR(VLOOKUP($C443, merchants!$A$2:$D$41, 4, FALSE), "Merchant not found")</f>
        <v>South</v>
      </c>
      <c r="Q443" s="5">
        <f t="shared" si="1"/>
        <v>0.3</v>
      </c>
      <c r="R443" s="6">
        <f t="shared" si="2"/>
        <v>46035</v>
      </c>
      <c r="S443" s="5">
        <f t="shared" si="3"/>
        <v>5798</v>
      </c>
      <c r="T443" s="5" t="str">
        <f t="shared" si="4"/>
        <v>High-Value Merchant Day</v>
      </c>
    </row>
    <row r="444">
      <c r="A444" s="2" t="s">
        <v>561</v>
      </c>
      <c r="B444" s="2">
        <v>190.0</v>
      </c>
      <c r="C444" s="2">
        <v>6.0</v>
      </c>
      <c r="D444" s="4">
        <v>46025.620833333334</v>
      </c>
      <c r="E444" s="2">
        <v>799.0</v>
      </c>
      <c r="F444" s="2" t="s">
        <v>13</v>
      </c>
      <c r="G444" s="2" t="s">
        <v>23</v>
      </c>
      <c r="H444" s="2">
        <v>68.0</v>
      </c>
      <c r="I444" s="5" t="str">
        <f>IFERROR(VLOOKUP($C444, merchants!$A$2:$D$41, 2, FALSE), "Merchant not found")</f>
        <v>Merchant_006</v>
      </c>
      <c r="J444" s="5" t="str">
        <f>IFERROR(VLOOKUP($C444, merchants!$A$2:$D$41, 3, FALSE), "Merchant not found")</f>
        <v>food_delivery</v>
      </c>
      <c r="K444" s="5" t="str">
        <f>IFERROR(VLOOKUP($C444, merchants!$A$2:$D$41, 4, FALSE), "Merchant not found")</f>
        <v>South</v>
      </c>
      <c r="Q444" s="5">
        <f t="shared" si="1"/>
        <v>0.5</v>
      </c>
      <c r="R444" s="6">
        <f t="shared" si="2"/>
        <v>46025</v>
      </c>
      <c r="S444" s="5">
        <f t="shared" si="3"/>
        <v>799</v>
      </c>
      <c r="T444" s="5" t="str">
        <f t="shared" si="4"/>
        <v>Normal</v>
      </c>
    </row>
    <row r="445">
      <c r="A445" s="2" t="s">
        <v>562</v>
      </c>
      <c r="B445" s="2">
        <v>138.0</v>
      </c>
      <c r="C445" s="2">
        <v>25.0</v>
      </c>
      <c r="D445" s="4">
        <v>46046.25208333333</v>
      </c>
      <c r="E445" s="2">
        <v>299.0</v>
      </c>
      <c r="F445" s="2" t="s">
        <v>13</v>
      </c>
      <c r="G445" s="2" t="s">
        <v>23</v>
      </c>
      <c r="H445" s="2">
        <v>86.0</v>
      </c>
      <c r="I445" s="5" t="str">
        <f>IFERROR(VLOOKUP($C445, merchants!$A$2:$D$41, 2, FALSE), "Merchant not found")</f>
        <v>Merchant_025</v>
      </c>
      <c r="J445" s="5" t="str">
        <f>IFERROR(VLOOKUP($C445, merchants!$A$2:$D$41, 3, FALSE), "Merchant not found")</f>
        <v>travel</v>
      </c>
      <c r="K445" s="5" t="str">
        <f>IFERROR(VLOOKUP($C445, merchants!$A$2:$D$41, 4, FALSE), "Merchant not found")</f>
        <v>South</v>
      </c>
      <c r="Q445" s="5">
        <f t="shared" si="1"/>
        <v>0.5</v>
      </c>
      <c r="R445" s="6">
        <f t="shared" si="2"/>
        <v>46046</v>
      </c>
      <c r="S445" s="5">
        <f t="shared" si="3"/>
        <v>497</v>
      </c>
      <c r="T445" s="5" t="str">
        <f t="shared" si="4"/>
        <v>Normal</v>
      </c>
    </row>
    <row r="446">
      <c r="A446" s="2" t="s">
        <v>563</v>
      </c>
      <c r="B446" s="2">
        <v>38.0</v>
      </c>
      <c r="C446" s="2">
        <v>13.0</v>
      </c>
      <c r="D446" s="4">
        <v>46042.79305555556</v>
      </c>
      <c r="E446" s="2">
        <v>4999.0</v>
      </c>
      <c r="F446" s="2" t="s">
        <v>15</v>
      </c>
      <c r="G446" s="2" t="s">
        <v>23</v>
      </c>
      <c r="H446" s="2">
        <v>97.0</v>
      </c>
      <c r="I446" s="5" t="str">
        <f>IFERROR(VLOOKUP($C446, merchants!$A$2:$D$41, 2, FALSE), "Merchant not found")</f>
        <v>Merchant_013</v>
      </c>
      <c r="J446" s="5" t="str">
        <f>IFERROR(VLOOKUP($C446, merchants!$A$2:$D$41, 3, FALSE), "Merchant not found")</f>
        <v>travel</v>
      </c>
      <c r="K446" s="5" t="str">
        <f>IFERROR(VLOOKUP($C446, merchants!$A$2:$D$41, 4, FALSE), "Merchant not found")</f>
        <v>East</v>
      </c>
      <c r="Q446" s="5">
        <f t="shared" si="1"/>
        <v>0.9</v>
      </c>
      <c r="R446" s="6">
        <f t="shared" si="2"/>
        <v>46042</v>
      </c>
      <c r="S446" s="5">
        <f t="shared" si="3"/>
        <v>4999</v>
      </c>
      <c r="T446" s="5" t="str">
        <f t="shared" si="4"/>
        <v>Normal</v>
      </c>
    </row>
    <row r="447">
      <c r="A447" s="2" t="s">
        <v>564</v>
      </c>
      <c r="B447" s="2">
        <v>287.0</v>
      </c>
      <c r="C447" s="2">
        <v>14.0</v>
      </c>
      <c r="D447" s="4">
        <v>46041.9875</v>
      </c>
      <c r="E447" s="2">
        <v>99.0</v>
      </c>
      <c r="F447" s="2" t="s">
        <v>13</v>
      </c>
      <c r="G447" s="2" t="s">
        <v>23</v>
      </c>
      <c r="H447" s="2">
        <v>61.0</v>
      </c>
      <c r="I447" s="5" t="str">
        <f>IFERROR(VLOOKUP($C447, merchants!$A$2:$D$41, 2, FALSE), "Merchant not found")</f>
        <v>Merchant_014</v>
      </c>
      <c r="J447" s="5" t="str">
        <f>IFERROR(VLOOKUP($C447, merchants!$A$2:$D$41, 3, FALSE), "Merchant not found")</f>
        <v>grocery</v>
      </c>
      <c r="K447" s="5" t="str">
        <f>IFERROR(VLOOKUP($C447, merchants!$A$2:$D$41, 4, FALSE), "Merchant not found")</f>
        <v>East</v>
      </c>
      <c r="Q447" s="5">
        <f t="shared" si="1"/>
        <v>0.5</v>
      </c>
      <c r="R447" s="6">
        <f t="shared" si="2"/>
        <v>46041</v>
      </c>
      <c r="S447" s="5">
        <f t="shared" si="3"/>
        <v>99</v>
      </c>
      <c r="T447" s="5" t="str">
        <f t="shared" si="4"/>
        <v>Normal</v>
      </c>
    </row>
    <row r="448">
      <c r="A448" s="2" t="s">
        <v>565</v>
      </c>
      <c r="B448" s="2">
        <v>8.0</v>
      </c>
      <c r="C448" s="2">
        <v>14.0</v>
      </c>
      <c r="D448" s="4">
        <v>46029.42986111111</v>
      </c>
      <c r="E448" s="2">
        <v>49.0</v>
      </c>
      <c r="F448" s="2" t="s">
        <v>12</v>
      </c>
      <c r="G448" s="2" t="s">
        <v>23</v>
      </c>
      <c r="H448" s="2">
        <v>24.0</v>
      </c>
      <c r="I448" s="5" t="str">
        <f>IFERROR(VLOOKUP($C448, merchants!$A$2:$D$41, 2, FALSE), "Merchant not found")</f>
        <v>Merchant_014</v>
      </c>
      <c r="J448" s="5" t="str">
        <f>IFERROR(VLOOKUP($C448, merchants!$A$2:$D$41, 3, FALSE), "Merchant not found")</f>
        <v>grocery</v>
      </c>
      <c r="K448" s="5" t="str">
        <f>IFERROR(VLOOKUP($C448, merchants!$A$2:$D$41, 4, FALSE), "Merchant not found")</f>
        <v>East</v>
      </c>
      <c r="Q448" s="5">
        <f t="shared" si="1"/>
        <v>0.3</v>
      </c>
      <c r="R448" s="6">
        <f t="shared" si="2"/>
        <v>46029</v>
      </c>
      <c r="S448" s="5">
        <f t="shared" si="3"/>
        <v>49</v>
      </c>
      <c r="T448" s="5" t="str">
        <f t="shared" si="4"/>
        <v>Normal</v>
      </c>
    </row>
    <row r="449">
      <c r="A449" s="2" t="s">
        <v>566</v>
      </c>
      <c r="B449" s="2">
        <v>246.0</v>
      </c>
      <c r="C449" s="2">
        <v>16.0</v>
      </c>
      <c r="D449" s="4">
        <v>46046.157638888886</v>
      </c>
      <c r="E449" s="2">
        <v>1499.0</v>
      </c>
      <c r="F449" s="2" t="s">
        <v>13</v>
      </c>
      <c r="G449" s="2" t="s">
        <v>23</v>
      </c>
      <c r="H449" s="2">
        <v>89.0</v>
      </c>
      <c r="I449" s="5" t="str">
        <f>IFERROR(VLOOKUP($C449, merchants!$A$2:$D$41, 2, FALSE), "Merchant not found")</f>
        <v>Merchant_016</v>
      </c>
      <c r="J449" s="5" t="str">
        <f>IFERROR(VLOOKUP($C449, merchants!$A$2:$D$41, 3, FALSE), "Merchant not found")</f>
        <v>bill_payment</v>
      </c>
      <c r="K449" s="5" t="str">
        <f>IFERROR(VLOOKUP($C449, merchants!$A$2:$D$41, 4, FALSE), "Merchant not found")</f>
        <v>West</v>
      </c>
      <c r="Q449" s="5">
        <f t="shared" si="1"/>
        <v>0.5</v>
      </c>
      <c r="R449" s="6">
        <f t="shared" si="2"/>
        <v>46046</v>
      </c>
      <c r="S449" s="5">
        <f t="shared" si="3"/>
        <v>1548</v>
      </c>
      <c r="T449" s="5" t="str">
        <f t="shared" si="4"/>
        <v>Normal</v>
      </c>
    </row>
    <row r="450">
      <c r="A450" s="2" t="s">
        <v>567</v>
      </c>
      <c r="B450" s="2">
        <v>204.0</v>
      </c>
      <c r="C450" s="2">
        <v>16.0</v>
      </c>
      <c r="D450" s="4">
        <v>46042.92569444444</v>
      </c>
      <c r="E450" s="2">
        <v>149.0</v>
      </c>
      <c r="F450" s="2" t="s">
        <v>12</v>
      </c>
      <c r="G450" s="2" t="s">
        <v>23</v>
      </c>
      <c r="H450" s="2">
        <v>70.0</v>
      </c>
      <c r="I450" s="5" t="str">
        <f>IFERROR(VLOOKUP($C450, merchants!$A$2:$D$41, 2, FALSE), "Merchant not found")</f>
        <v>Merchant_016</v>
      </c>
      <c r="J450" s="5" t="str">
        <f>IFERROR(VLOOKUP($C450, merchants!$A$2:$D$41, 3, FALSE), "Merchant not found")</f>
        <v>bill_payment</v>
      </c>
      <c r="K450" s="5" t="str">
        <f>IFERROR(VLOOKUP($C450, merchants!$A$2:$D$41, 4, FALSE), "Merchant not found")</f>
        <v>West</v>
      </c>
      <c r="Q450" s="5">
        <f t="shared" si="1"/>
        <v>0.3</v>
      </c>
      <c r="R450" s="6">
        <f t="shared" si="2"/>
        <v>46042</v>
      </c>
      <c r="S450" s="5">
        <f t="shared" si="3"/>
        <v>448</v>
      </c>
      <c r="T450" s="5" t="str">
        <f t="shared" si="4"/>
        <v>Normal</v>
      </c>
    </row>
    <row r="451">
      <c r="A451" s="2" t="s">
        <v>568</v>
      </c>
      <c r="B451" s="2">
        <v>239.0</v>
      </c>
      <c r="C451" s="2">
        <v>35.0</v>
      </c>
      <c r="D451" s="4">
        <v>46033.39166666667</v>
      </c>
      <c r="E451" s="2">
        <v>4999.0</v>
      </c>
      <c r="F451" s="2" t="s">
        <v>12</v>
      </c>
      <c r="G451" s="2" t="s">
        <v>23</v>
      </c>
      <c r="H451" s="2">
        <v>83.0</v>
      </c>
      <c r="I451" s="5" t="str">
        <f>IFERROR(VLOOKUP($C451, merchants!$A$2:$D$41, 2, FALSE), "Merchant not found")</f>
        <v>Merchant_035</v>
      </c>
      <c r="J451" s="5" t="str">
        <f>IFERROR(VLOOKUP($C451, merchants!$A$2:$D$41, 3, FALSE), "Merchant not found")</f>
        <v>recharge</v>
      </c>
      <c r="K451" s="5" t="str">
        <f>IFERROR(VLOOKUP($C451, merchants!$A$2:$D$41, 4, FALSE), "Merchant not found")</f>
        <v>East</v>
      </c>
      <c r="Q451" s="5">
        <f t="shared" si="1"/>
        <v>0.3</v>
      </c>
      <c r="R451" s="6">
        <f t="shared" si="2"/>
        <v>46033</v>
      </c>
      <c r="S451" s="5">
        <f t="shared" si="3"/>
        <v>4999</v>
      </c>
      <c r="T451" s="5" t="str">
        <f t="shared" si="4"/>
        <v>Normal</v>
      </c>
    </row>
    <row r="452">
      <c r="A452" s="2" t="s">
        <v>569</v>
      </c>
      <c r="B452" s="2">
        <v>185.0</v>
      </c>
      <c r="C452" s="2">
        <v>33.0</v>
      </c>
      <c r="D452" s="4">
        <v>46034.38611111111</v>
      </c>
      <c r="E452" s="2">
        <v>299.0</v>
      </c>
      <c r="F452" s="2" t="s">
        <v>12</v>
      </c>
      <c r="G452" s="2" t="s">
        <v>23</v>
      </c>
      <c r="H452" s="2">
        <v>63.0</v>
      </c>
      <c r="I452" s="5" t="str">
        <f>IFERROR(VLOOKUP($C452, merchants!$A$2:$D$41, 2, FALSE), "Merchant not found")</f>
        <v>Merchant_033</v>
      </c>
      <c r="J452" s="5" t="str">
        <f>IFERROR(VLOOKUP($C452, merchants!$A$2:$D$41, 3, FALSE), "Merchant not found")</f>
        <v>bill_payment</v>
      </c>
      <c r="K452" s="5" t="str">
        <f>IFERROR(VLOOKUP($C452, merchants!$A$2:$D$41, 4, FALSE), "Merchant not found")</f>
        <v>East</v>
      </c>
      <c r="Q452" s="5">
        <f t="shared" si="1"/>
        <v>0.3</v>
      </c>
      <c r="R452" s="6">
        <f t="shared" si="2"/>
        <v>46034</v>
      </c>
      <c r="S452" s="5">
        <f t="shared" si="3"/>
        <v>299</v>
      </c>
      <c r="T452" s="5" t="str">
        <f t="shared" si="4"/>
        <v>Normal</v>
      </c>
    </row>
    <row r="453">
      <c r="A453" s="2" t="s">
        <v>570</v>
      </c>
      <c r="B453" s="2">
        <v>241.0</v>
      </c>
      <c r="C453" s="2">
        <v>21.0</v>
      </c>
      <c r="D453" s="4">
        <v>46037.160416666666</v>
      </c>
      <c r="E453" s="2">
        <v>299.0</v>
      </c>
      <c r="F453" s="2" t="s">
        <v>14</v>
      </c>
      <c r="G453" s="2" t="s">
        <v>23</v>
      </c>
      <c r="H453" s="2">
        <v>26.0</v>
      </c>
      <c r="I453" s="5" t="str">
        <f>IFERROR(VLOOKUP($C453, merchants!$A$2:$D$41, 2, FALSE), "Merchant not found")</f>
        <v>Merchant_021</v>
      </c>
      <c r="J453" s="5" t="str">
        <f>IFERROR(VLOOKUP($C453, merchants!$A$2:$D$41, 3, FALSE), "Merchant not found")</f>
        <v>food_delivery</v>
      </c>
      <c r="K453" s="5" t="str">
        <f>IFERROR(VLOOKUP($C453, merchants!$A$2:$D$41, 4, FALSE), "Merchant not found")</f>
        <v>East</v>
      </c>
      <c r="Q453" s="5">
        <f t="shared" si="1"/>
        <v>1.5</v>
      </c>
      <c r="R453" s="6">
        <f t="shared" si="2"/>
        <v>46037</v>
      </c>
      <c r="S453" s="5">
        <f t="shared" si="3"/>
        <v>299</v>
      </c>
      <c r="T453" s="5" t="str">
        <f t="shared" si="4"/>
        <v>Normal</v>
      </c>
    </row>
    <row r="454">
      <c r="A454" s="2" t="s">
        <v>571</v>
      </c>
      <c r="B454" s="2">
        <v>24.0</v>
      </c>
      <c r="C454" s="2">
        <v>37.0</v>
      </c>
      <c r="D454" s="4">
        <v>46034.43472222222</v>
      </c>
      <c r="E454" s="2">
        <v>149.0</v>
      </c>
      <c r="F454" s="2" t="s">
        <v>12</v>
      </c>
      <c r="G454" s="2" t="s">
        <v>23</v>
      </c>
      <c r="H454" s="2">
        <v>28.0</v>
      </c>
      <c r="I454" s="5" t="str">
        <f>IFERROR(VLOOKUP($C454, merchants!$A$2:$D$41, 2, FALSE), "Merchant not found")</f>
        <v>Merchant_037</v>
      </c>
      <c r="J454" s="5" t="str">
        <f>IFERROR(VLOOKUP($C454, merchants!$A$2:$D$41, 3, FALSE), "Merchant not found")</f>
        <v>entertainment</v>
      </c>
      <c r="K454" s="5" t="str">
        <f>IFERROR(VLOOKUP($C454, merchants!$A$2:$D$41, 4, FALSE), "Merchant not found")</f>
        <v>South</v>
      </c>
      <c r="Q454" s="5">
        <f t="shared" si="1"/>
        <v>0.3</v>
      </c>
      <c r="R454" s="6">
        <f t="shared" si="2"/>
        <v>46034</v>
      </c>
      <c r="S454" s="5">
        <f t="shared" si="3"/>
        <v>149</v>
      </c>
      <c r="T454" s="5" t="str">
        <f t="shared" si="4"/>
        <v>Normal</v>
      </c>
    </row>
    <row r="455">
      <c r="A455" s="2" t="s">
        <v>572</v>
      </c>
      <c r="B455" s="2">
        <v>134.0</v>
      </c>
      <c r="C455" s="2">
        <v>36.0</v>
      </c>
      <c r="D455" s="4">
        <v>46046.16736111111</v>
      </c>
      <c r="E455" s="2">
        <v>1499.0</v>
      </c>
      <c r="F455" s="2" t="s">
        <v>12</v>
      </c>
      <c r="G455" s="2" t="s">
        <v>23</v>
      </c>
      <c r="H455" s="2">
        <v>74.0</v>
      </c>
      <c r="I455" s="5" t="str">
        <f>IFERROR(VLOOKUP($C455, merchants!$A$2:$D$41, 2, FALSE), "Merchant not found")</f>
        <v>Merchant_036</v>
      </c>
      <c r="J455" s="5" t="str">
        <f>IFERROR(VLOOKUP($C455, merchants!$A$2:$D$41, 3, FALSE), "Merchant not found")</f>
        <v>entertainment</v>
      </c>
      <c r="K455" s="5" t="str">
        <f>IFERROR(VLOOKUP($C455, merchants!$A$2:$D$41, 4, FALSE), "Merchant not found")</f>
        <v>East</v>
      </c>
      <c r="Q455" s="5">
        <f t="shared" si="1"/>
        <v>0.3</v>
      </c>
      <c r="R455" s="6">
        <f t="shared" si="2"/>
        <v>46046</v>
      </c>
      <c r="S455" s="5">
        <f t="shared" si="3"/>
        <v>1647</v>
      </c>
      <c r="T455" s="5" t="str">
        <f t="shared" si="4"/>
        <v>Normal</v>
      </c>
    </row>
    <row r="456">
      <c r="A456" s="2" t="s">
        <v>573</v>
      </c>
      <c r="B456" s="2">
        <v>152.0</v>
      </c>
      <c r="C456" s="2">
        <v>10.0</v>
      </c>
      <c r="D456" s="4">
        <v>46041.97638888889</v>
      </c>
      <c r="E456" s="2">
        <v>499.0</v>
      </c>
      <c r="F456" s="2" t="s">
        <v>13</v>
      </c>
      <c r="G456" s="2" t="s">
        <v>23</v>
      </c>
      <c r="H456" s="2">
        <v>25.0</v>
      </c>
      <c r="I456" s="5" t="str">
        <f>IFERROR(VLOOKUP($C456, merchants!$A$2:$D$41, 2, FALSE), "Merchant not found")</f>
        <v>Merchant_010</v>
      </c>
      <c r="J456" s="5" t="str">
        <f>IFERROR(VLOOKUP($C456, merchants!$A$2:$D$41, 3, FALSE), "Merchant not found")</f>
        <v>grocery</v>
      </c>
      <c r="K456" s="5" t="str">
        <f>IFERROR(VLOOKUP($C456, merchants!$A$2:$D$41, 4, FALSE), "Merchant not found")</f>
        <v>West</v>
      </c>
      <c r="Q456" s="5">
        <f t="shared" si="1"/>
        <v>0.5</v>
      </c>
      <c r="R456" s="6">
        <f t="shared" si="2"/>
        <v>46041</v>
      </c>
      <c r="S456" s="5">
        <f t="shared" si="3"/>
        <v>499</v>
      </c>
      <c r="T456" s="5" t="str">
        <f t="shared" si="4"/>
        <v>Normal</v>
      </c>
    </row>
    <row r="457">
      <c r="A457" s="2" t="s">
        <v>574</v>
      </c>
      <c r="B457" s="2">
        <v>292.0</v>
      </c>
      <c r="C457" s="2">
        <v>16.0</v>
      </c>
      <c r="D457" s="4">
        <v>46033.308333333334</v>
      </c>
      <c r="E457" s="2">
        <v>499.0</v>
      </c>
      <c r="F457" s="2" t="s">
        <v>15</v>
      </c>
      <c r="G457" s="2" t="s">
        <v>23</v>
      </c>
      <c r="H457" s="2">
        <v>63.0</v>
      </c>
      <c r="I457" s="5" t="str">
        <f>IFERROR(VLOOKUP($C457, merchants!$A$2:$D$41, 2, FALSE), "Merchant not found")</f>
        <v>Merchant_016</v>
      </c>
      <c r="J457" s="5" t="str">
        <f>IFERROR(VLOOKUP($C457, merchants!$A$2:$D$41, 3, FALSE), "Merchant not found")</f>
        <v>bill_payment</v>
      </c>
      <c r="K457" s="5" t="str">
        <f>IFERROR(VLOOKUP($C457, merchants!$A$2:$D$41, 4, FALSE), "Merchant not found")</f>
        <v>West</v>
      </c>
      <c r="Q457" s="5">
        <f t="shared" si="1"/>
        <v>0.9</v>
      </c>
      <c r="R457" s="6">
        <f t="shared" si="2"/>
        <v>46033</v>
      </c>
      <c r="S457" s="5">
        <f t="shared" si="3"/>
        <v>499</v>
      </c>
      <c r="T457" s="5" t="str">
        <f t="shared" si="4"/>
        <v>Normal</v>
      </c>
    </row>
    <row r="458">
      <c r="A458" s="2" t="s">
        <v>575</v>
      </c>
      <c r="B458" s="2">
        <v>173.0</v>
      </c>
      <c r="C458" s="2">
        <v>17.0</v>
      </c>
      <c r="D458" s="4">
        <v>46040.86319444444</v>
      </c>
      <c r="E458" s="2">
        <v>99.0</v>
      </c>
      <c r="F458" s="2" t="s">
        <v>15</v>
      </c>
      <c r="G458" s="2" t="s">
        <v>23</v>
      </c>
      <c r="H458" s="2">
        <v>97.0</v>
      </c>
      <c r="I458" s="5" t="str">
        <f>IFERROR(VLOOKUP($C458, merchants!$A$2:$D$41, 2, FALSE), "Merchant not found")</f>
        <v>Merchant_017</v>
      </c>
      <c r="J458" s="5" t="str">
        <f>IFERROR(VLOOKUP($C458, merchants!$A$2:$D$41, 3, FALSE), "Merchant not found")</f>
        <v>grocery</v>
      </c>
      <c r="K458" s="5" t="str">
        <f>IFERROR(VLOOKUP($C458, merchants!$A$2:$D$41, 4, FALSE), "Merchant not found")</f>
        <v>North</v>
      </c>
      <c r="Q458" s="5">
        <f t="shared" si="1"/>
        <v>0.9</v>
      </c>
      <c r="R458" s="6">
        <f t="shared" si="2"/>
        <v>46040</v>
      </c>
      <c r="S458" s="5">
        <f t="shared" si="3"/>
        <v>198</v>
      </c>
      <c r="T458" s="5" t="str">
        <f t="shared" si="4"/>
        <v>Normal</v>
      </c>
    </row>
    <row r="459">
      <c r="A459" s="2" t="s">
        <v>576</v>
      </c>
      <c r="B459" s="2">
        <v>329.0</v>
      </c>
      <c r="C459" s="2">
        <v>32.0</v>
      </c>
      <c r="D459" s="4">
        <v>46049.65694444445</v>
      </c>
      <c r="E459" s="2">
        <v>1499.0</v>
      </c>
      <c r="F459" s="2" t="s">
        <v>12</v>
      </c>
      <c r="G459" s="2" t="s">
        <v>23</v>
      </c>
      <c r="H459" s="2">
        <v>58.0</v>
      </c>
      <c r="I459" s="5" t="str">
        <f>IFERROR(VLOOKUP($C459, merchants!$A$2:$D$41, 2, FALSE), "Merchant not found")</f>
        <v>Merchant_032</v>
      </c>
      <c r="J459" s="5" t="str">
        <f>IFERROR(VLOOKUP($C459, merchants!$A$2:$D$41, 3, FALSE), "Merchant not found")</f>
        <v>food_delivery</v>
      </c>
      <c r="K459" s="5" t="str">
        <f>IFERROR(VLOOKUP($C459, merchants!$A$2:$D$41, 4, FALSE), "Merchant not found")</f>
        <v>West</v>
      </c>
      <c r="Q459" s="5">
        <f t="shared" si="1"/>
        <v>0.3</v>
      </c>
      <c r="R459" s="6">
        <f t="shared" si="2"/>
        <v>46049</v>
      </c>
      <c r="S459" s="5">
        <f t="shared" si="3"/>
        <v>1499</v>
      </c>
      <c r="T459" s="5" t="str">
        <f t="shared" si="4"/>
        <v>Normal</v>
      </c>
    </row>
    <row r="460">
      <c r="A460" s="2" t="s">
        <v>577</v>
      </c>
      <c r="B460" s="2">
        <v>181.0</v>
      </c>
      <c r="C460" s="2">
        <v>11.0</v>
      </c>
      <c r="D460" s="4">
        <v>46028.993055555555</v>
      </c>
      <c r="E460" s="2">
        <v>1499.0</v>
      </c>
      <c r="F460" s="2" t="s">
        <v>12</v>
      </c>
      <c r="G460" s="2" t="s">
        <v>23</v>
      </c>
      <c r="H460" s="2">
        <v>17.0</v>
      </c>
      <c r="I460" s="5" t="str">
        <f>IFERROR(VLOOKUP($C460, merchants!$A$2:$D$41, 2, FALSE), "Merchant not found")</f>
        <v>Merchant_011</v>
      </c>
      <c r="J460" s="5" t="str">
        <f>IFERROR(VLOOKUP($C460, merchants!$A$2:$D$41, 3, FALSE), "Merchant not found")</f>
        <v>ecommerce</v>
      </c>
      <c r="K460" s="5" t="str">
        <f>IFERROR(VLOOKUP($C460, merchants!$A$2:$D$41, 4, FALSE), "Merchant not found")</f>
        <v>North</v>
      </c>
      <c r="Q460" s="5">
        <f t="shared" si="1"/>
        <v>0.3</v>
      </c>
      <c r="R460" s="6">
        <f t="shared" si="2"/>
        <v>46028</v>
      </c>
      <c r="S460" s="5">
        <f t="shared" si="3"/>
        <v>1499</v>
      </c>
      <c r="T460" s="5" t="str">
        <f t="shared" si="4"/>
        <v>Normal</v>
      </c>
    </row>
    <row r="461">
      <c r="A461" s="2" t="s">
        <v>578</v>
      </c>
      <c r="B461" s="2">
        <v>95.0</v>
      </c>
      <c r="C461" s="2">
        <v>35.0</v>
      </c>
      <c r="D461" s="4">
        <v>46046.72986111111</v>
      </c>
      <c r="E461" s="2">
        <v>149.0</v>
      </c>
      <c r="F461" s="2" t="s">
        <v>13</v>
      </c>
      <c r="G461" s="2" t="s">
        <v>23</v>
      </c>
      <c r="H461" s="2">
        <v>82.0</v>
      </c>
      <c r="I461" s="5" t="str">
        <f>IFERROR(VLOOKUP($C461, merchants!$A$2:$D$41, 2, FALSE), "Merchant not found")</f>
        <v>Merchant_035</v>
      </c>
      <c r="J461" s="5" t="str">
        <f>IFERROR(VLOOKUP($C461, merchants!$A$2:$D$41, 3, FALSE), "Merchant not found")</f>
        <v>recharge</v>
      </c>
      <c r="K461" s="5" t="str">
        <f>IFERROR(VLOOKUP($C461, merchants!$A$2:$D$41, 4, FALSE), "Merchant not found")</f>
        <v>East</v>
      </c>
      <c r="Q461" s="5">
        <f t="shared" si="1"/>
        <v>0.5</v>
      </c>
      <c r="R461" s="6">
        <f t="shared" si="2"/>
        <v>46046</v>
      </c>
      <c r="S461" s="5">
        <f t="shared" si="3"/>
        <v>149</v>
      </c>
      <c r="T461" s="5" t="str">
        <f t="shared" si="4"/>
        <v>Normal</v>
      </c>
    </row>
    <row r="462">
      <c r="A462" s="2" t="s">
        <v>579</v>
      </c>
      <c r="B462" s="2">
        <v>39.0</v>
      </c>
      <c r="C462" s="2">
        <v>4.0</v>
      </c>
      <c r="D462" s="4">
        <v>46024.66805555556</v>
      </c>
      <c r="E462" s="2">
        <v>149.0</v>
      </c>
      <c r="F462" s="2" t="s">
        <v>15</v>
      </c>
      <c r="G462" s="2" t="s">
        <v>23</v>
      </c>
      <c r="H462" s="2">
        <v>97.0</v>
      </c>
      <c r="I462" s="5" t="str">
        <f>IFERROR(VLOOKUP($C462, merchants!$A$2:$D$41, 2, FALSE), "Merchant not found")</f>
        <v>Merchant_004</v>
      </c>
      <c r="J462" s="5" t="str">
        <f>IFERROR(VLOOKUP($C462, merchants!$A$2:$D$41, 3, FALSE), "Merchant not found")</f>
        <v>ecommerce</v>
      </c>
      <c r="K462" s="5" t="str">
        <f>IFERROR(VLOOKUP($C462, merchants!$A$2:$D$41, 4, FALSE), "Merchant not found")</f>
        <v>East</v>
      </c>
      <c r="Q462" s="5">
        <f t="shared" si="1"/>
        <v>0.9</v>
      </c>
      <c r="R462" s="6">
        <f t="shared" si="2"/>
        <v>46024</v>
      </c>
      <c r="S462" s="5">
        <f t="shared" si="3"/>
        <v>149</v>
      </c>
      <c r="T462" s="5" t="str">
        <f t="shared" si="4"/>
        <v>Normal</v>
      </c>
    </row>
    <row r="463">
      <c r="A463" s="2" t="s">
        <v>580</v>
      </c>
      <c r="B463" s="2">
        <v>323.0</v>
      </c>
      <c r="C463" s="2">
        <v>15.0</v>
      </c>
      <c r="D463" s="4">
        <v>46023.54722222222</v>
      </c>
      <c r="E463" s="2">
        <v>499.0</v>
      </c>
      <c r="F463" s="2" t="s">
        <v>12</v>
      </c>
      <c r="G463" s="2" t="s">
        <v>23</v>
      </c>
      <c r="H463" s="2">
        <v>8.0</v>
      </c>
      <c r="I463" s="5" t="str">
        <f>IFERROR(VLOOKUP($C463, merchants!$A$2:$D$41, 2, FALSE), "Merchant not found")</f>
        <v>Merchant_015</v>
      </c>
      <c r="J463" s="5" t="str">
        <f>IFERROR(VLOOKUP($C463, merchants!$A$2:$D$41, 3, FALSE), "Merchant not found")</f>
        <v>travel</v>
      </c>
      <c r="K463" s="5" t="str">
        <f>IFERROR(VLOOKUP($C463, merchants!$A$2:$D$41, 4, FALSE), "Merchant not found")</f>
        <v>North</v>
      </c>
      <c r="Q463" s="5">
        <f t="shared" si="1"/>
        <v>0.3</v>
      </c>
      <c r="R463" s="6">
        <f t="shared" si="2"/>
        <v>46023</v>
      </c>
      <c r="S463" s="5">
        <f t="shared" si="3"/>
        <v>499</v>
      </c>
      <c r="T463" s="5" t="str">
        <f t="shared" si="4"/>
        <v>Normal</v>
      </c>
    </row>
    <row r="464">
      <c r="A464" s="2" t="s">
        <v>581</v>
      </c>
      <c r="B464" s="2">
        <v>112.0</v>
      </c>
      <c r="C464" s="2">
        <v>33.0</v>
      </c>
      <c r="D464" s="4">
        <v>46045.166666666664</v>
      </c>
      <c r="E464" s="2">
        <v>49.0</v>
      </c>
      <c r="F464" s="2" t="s">
        <v>15</v>
      </c>
      <c r="G464" s="2" t="s">
        <v>23</v>
      </c>
      <c r="H464" s="2">
        <v>58.0</v>
      </c>
      <c r="I464" s="5" t="str">
        <f>IFERROR(VLOOKUP($C464, merchants!$A$2:$D$41, 2, FALSE), "Merchant not found")</f>
        <v>Merchant_033</v>
      </c>
      <c r="J464" s="5" t="str">
        <f>IFERROR(VLOOKUP($C464, merchants!$A$2:$D$41, 3, FALSE), "Merchant not found")</f>
        <v>bill_payment</v>
      </c>
      <c r="K464" s="5" t="str">
        <f>IFERROR(VLOOKUP($C464, merchants!$A$2:$D$41, 4, FALSE), "Merchant not found")</f>
        <v>East</v>
      </c>
      <c r="Q464" s="5">
        <f t="shared" si="1"/>
        <v>0.9</v>
      </c>
      <c r="R464" s="6">
        <f t="shared" si="2"/>
        <v>46045</v>
      </c>
      <c r="S464" s="5">
        <f t="shared" si="3"/>
        <v>49</v>
      </c>
      <c r="T464" s="5" t="str">
        <f t="shared" si="4"/>
        <v>Normal</v>
      </c>
    </row>
    <row r="465">
      <c r="A465" s="2" t="s">
        <v>582</v>
      </c>
      <c r="B465" s="2">
        <v>327.0</v>
      </c>
      <c r="C465" s="2">
        <v>40.0</v>
      </c>
      <c r="D465" s="4">
        <v>46034.06875</v>
      </c>
      <c r="E465" s="2">
        <v>99.0</v>
      </c>
      <c r="F465" s="2" t="s">
        <v>12</v>
      </c>
      <c r="G465" s="2" t="s">
        <v>23</v>
      </c>
      <c r="H465" s="2">
        <v>61.0</v>
      </c>
      <c r="I465" s="5" t="str">
        <f>IFERROR(VLOOKUP($C465, merchants!$A$2:$D$41, 2, FALSE), "Merchant not found")</f>
        <v>Merchant_040</v>
      </c>
      <c r="J465" s="5" t="str">
        <f>IFERROR(VLOOKUP($C465, merchants!$A$2:$D$41, 3, FALSE), "Merchant not found")</f>
        <v>entertainment</v>
      </c>
      <c r="K465" s="5" t="str">
        <f>IFERROR(VLOOKUP($C465, merchants!$A$2:$D$41, 4, FALSE), "Merchant not found")</f>
        <v>South</v>
      </c>
      <c r="Q465" s="5">
        <f t="shared" si="1"/>
        <v>0.3</v>
      </c>
      <c r="R465" s="6">
        <f t="shared" si="2"/>
        <v>46034</v>
      </c>
      <c r="S465" s="5">
        <f t="shared" si="3"/>
        <v>99</v>
      </c>
      <c r="T465" s="5" t="str">
        <f t="shared" si="4"/>
        <v>Normal</v>
      </c>
    </row>
    <row r="466">
      <c r="A466" s="2" t="s">
        <v>583</v>
      </c>
      <c r="B466" s="2">
        <v>4.0</v>
      </c>
      <c r="C466" s="2">
        <v>35.0</v>
      </c>
      <c r="D466" s="4">
        <v>46044.62569444445</v>
      </c>
      <c r="E466" s="2">
        <v>299.0</v>
      </c>
      <c r="F466" s="2" t="s">
        <v>12</v>
      </c>
      <c r="G466" s="2" t="s">
        <v>23</v>
      </c>
      <c r="H466" s="2">
        <v>70.0</v>
      </c>
      <c r="I466" s="5" t="str">
        <f>IFERROR(VLOOKUP($C466, merchants!$A$2:$D$41, 2, FALSE), "Merchant not found")</f>
        <v>Merchant_035</v>
      </c>
      <c r="J466" s="5" t="str">
        <f>IFERROR(VLOOKUP($C466, merchants!$A$2:$D$41, 3, FALSE), "Merchant not found")</f>
        <v>recharge</v>
      </c>
      <c r="K466" s="5" t="str">
        <f>IFERROR(VLOOKUP($C466, merchants!$A$2:$D$41, 4, FALSE), "Merchant not found")</f>
        <v>East</v>
      </c>
      <c r="Q466" s="5">
        <f t="shared" si="1"/>
        <v>0.3</v>
      </c>
      <c r="R466" s="6">
        <f t="shared" si="2"/>
        <v>46044</v>
      </c>
      <c r="S466" s="5">
        <f t="shared" si="3"/>
        <v>299</v>
      </c>
      <c r="T466" s="5" t="str">
        <f t="shared" si="4"/>
        <v>Normal</v>
      </c>
    </row>
    <row r="467">
      <c r="A467" s="2" t="s">
        <v>584</v>
      </c>
      <c r="B467" s="2">
        <v>272.0</v>
      </c>
      <c r="C467" s="2">
        <v>18.0</v>
      </c>
      <c r="D467" s="4">
        <v>46036.00069444445</v>
      </c>
      <c r="E467" s="2">
        <v>149.0</v>
      </c>
      <c r="F467" s="2" t="s">
        <v>12</v>
      </c>
      <c r="G467" s="2" t="s">
        <v>23</v>
      </c>
      <c r="H467" s="2">
        <v>68.0</v>
      </c>
      <c r="I467" s="5" t="str">
        <f>IFERROR(VLOOKUP($C467, merchants!$A$2:$D$41, 2, FALSE), "Merchant not found")</f>
        <v>Merchant_018</v>
      </c>
      <c r="J467" s="5" t="str">
        <f>IFERROR(VLOOKUP($C467, merchants!$A$2:$D$41, 3, FALSE), "Merchant not found")</f>
        <v>grocery</v>
      </c>
      <c r="K467" s="5" t="str">
        <f>IFERROR(VLOOKUP($C467, merchants!$A$2:$D$41, 4, FALSE), "Merchant not found")</f>
        <v>West</v>
      </c>
      <c r="Q467" s="5">
        <f t="shared" si="1"/>
        <v>0.3</v>
      </c>
      <c r="R467" s="6">
        <f t="shared" si="2"/>
        <v>46036</v>
      </c>
      <c r="S467" s="5">
        <f t="shared" si="3"/>
        <v>149</v>
      </c>
      <c r="T467" s="5" t="str">
        <f t="shared" si="4"/>
        <v>Normal</v>
      </c>
    </row>
    <row r="468">
      <c r="A468" s="2" t="s">
        <v>585</v>
      </c>
      <c r="B468" s="2">
        <v>346.0</v>
      </c>
      <c r="C468" s="2">
        <v>28.0</v>
      </c>
      <c r="D468" s="4">
        <v>46032.02222222222</v>
      </c>
      <c r="E468" s="2">
        <v>499.0</v>
      </c>
      <c r="F468" s="2" t="s">
        <v>12</v>
      </c>
      <c r="G468" s="2" t="s">
        <v>23</v>
      </c>
      <c r="H468" s="2">
        <v>22.0</v>
      </c>
      <c r="I468" s="5" t="str">
        <f>IFERROR(VLOOKUP($C468, merchants!$A$2:$D$41, 2, FALSE), "Merchant not found")</f>
        <v>Merchant_028</v>
      </c>
      <c r="J468" s="5" t="str">
        <f>IFERROR(VLOOKUP($C468, merchants!$A$2:$D$41, 3, FALSE), "Merchant not found")</f>
        <v>ecommerce</v>
      </c>
      <c r="K468" s="5" t="str">
        <f>IFERROR(VLOOKUP($C468, merchants!$A$2:$D$41, 4, FALSE), "Merchant not found")</f>
        <v>South</v>
      </c>
      <c r="Q468" s="5">
        <f t="shared" si="1"/>
        <v>0.3</v>
      </c>
      <c r="R468" s="6">
        <f t="shared" si="2"/>
        <v>46032</v>
      </c>
      <c r="S468" s="5">
        <f t="shared" si="3"/>
        <v>499</v>
      </c>
      <c r="T468" s="5" t="str">
        <f t="shared" si="4"/>
        <v>Normal</v>
      </c>
    </row>
    <row r="469">
      <c r="A469" s="2" t="s">
        <v>586</v>
      </c>
      <c r="B469" s="2">
        <v>77.0</v>
      </c>
      <c r="C469" s="2">
        <v>16.0</v>
      </c>
      <c r="D469" s="4">
        <v>46026.14791666667</v>
      </c>
      <c r="E469" s="2">
        <v>49.0</v>
      </c>
      <c r="F469" s="2" t="s">
        <v>13</v>
      </c>
      <c r="G469" s="2" t="s">
        <v>23</v>
      </c>
      <c r="H469" s="2">
        <v>24.0</v>
      </c>
      <c r="I469" s="5" t="str">
        <f>IFERROR(VLOOKUP($C469, merchants!$A$2:$D$41, 2, FALSE), "Merchant not found")</f>
        <v>Merchant_016</v>
      </c>
      <c r="J469" s="5" t="str">
        <f>IFERROR(VLOOKUP($C469, merchants!$A$2:$D$41, 3, FALSE), "Merchant not found")</f>
        <v>bill_payment</v>
      </c>
      <c r="K469" s="5" t="str">
        <f>IFERROR(VLOOKUP($C469, merchants!$A$2:$D$41, 4, FALSE), "Merchant not found")</f>
        <v>West</v>
      </c>
      <c r="Q469" s="5">
        <f t="shared" si="1"/>
        <v>0.5</v>
      </c>
      <c r="R469" s="6">
        <f t="shared" si="2"/>
        <v>46026</v>
      </c>
      <c r="S469" s="5">
        <f t="shared" si="3"/>
        <v>49</v>
      </c>
      <c r="T469" s="5" t="str">
        <f t="shared" si="4"/>
        <v>Normal</v>
      </c>
    </row>
    <row r="470">
      <c r="A470" s="2" t="s">
        <v>587</v>
      </c>
      <c r="B470" s="2">
        <v>182.0</v>
      </c>
      <c r="C470" s="2">
        <v>18.0</v>
      </c>
      <c r="D470" s="4">
        <v>46042.677777777775</v>
      </c>
      <c r="E470" s="2">
        <v>149.0</v>
      </c>
      <c r="F470" s="2" t="s">
        <v>14</v>
      </c>
      <c r="G470" s="2" t="s">
        <v>23</v>
      </c>
      <c r="H470" s="2">
        <v>50.0</v>
      </c>
      <c r="I470" s="5" t="str">
        <f>IFERROR(VLOOKUP($C470, merchants!$A$2:$D$41, 2, FALSE), "Merchant not found")</f>
        <v>Merchant_018</v>
      </c>
      <c r="J470" s="5" t="str">
        <f>IFERROR(VLOOKUP($C470, merchants!$A$2:$D$41, 3, FALSE), "Merchant not found")</f>
        <v>grocery</v>
      </c>
      <c r="K470" s="5" t="str">
        <f>IFERROR(VLOOKUP($C470, merchants!$A$2:$D$41, 4, FALSE), "Merchant not found")</f>
        <v>West</v>
      </c>
      <c r="Q470" s="5">
        <f t="shared" si="1"/>
        <v>1.5</v>
      </c>
      <c r="R470" s="6">
        <f t="shared" si="2"/>
        <v>46042</v>
      </c>
      <c r="S470" s="5">
        <f t="shared" si="3"/>
        <v>149</v>
      </c>
      <c r="T470" s="5" t="str">
        <f t="shared" si="4"/>
        <v>Normal</v>
      </c>
    </row>
    <row r="471">
      <c r="A471" s="2" t="s">
        <v>588</v>
      </c>
      <c r="B471" s="2">
        <v>236.0</v>
      </c>
      <c r="C471" s="2">
        <v>37.0</v>
      </c>
      <c r="D471" s="4">
        <v>46025.475694444445</v>
      </c>
      <c r="E471" s="2">
        <v>299.0</v>
      </c>
      <c r="F471" s="2" t="s">
        <v>14</v>
      </c>
      <c r="G471" s="2" t="s">
        <v>23</v>
      </c>
      <c r="H471" s="2">
        <v>31.0</v>
      </c>
      <c r="I471" s="5" t="str">
        <f>IFERROR(VLOOKUP($C471, merchants!$A$2:$D$41, 2, FALSE), "Merchant not found")</f>
        <v>Merchant_037</v>
      </c>
      <c r="J471" s="5" t="str">
        <f>IFERROR(VLOOKUP($C471, merchants!$A$2:$D$41, 3, FALSE), "Merchant not found")</f>
        <v>entertainment</v>
      </c>
      <c r="K471" s="5" t="str">
        <f>IFERROR(VLOOKUP($C471, merchants!$A$2:$D$41, 4, FALSE), "Merchant not found")</f>
        <v>South</v>
      </c>
      <c r="Q471" s="5">
        <f t="shared" si="1"/>
        <v>1.5</v>
      </c>
      <c r="R471" s="6">
        <f t="shared" si="2"/>
        <v>46025</v>
      </c>
      <c r="S471" s="5">
        <f t="shared" si="3"/>
        <v>299</v>
      </c>
      <c r="T471" s="5" t="str">
        <f t="shared" si="4"/>
        <v>Normal</v>
      </c>
    </row>
    <row r="472">
      <c r="A472" s="2" t="s">
        <v>589</v>
      </c>
      <c r="B472" s="2">
        <v>42.0</v>
      </c>
      <c r="C472" s="2">
        <v>3.0</v>
      </c>
      <c r="D472" s="4">
        <v>46045.30486111111</v>
      </c>
      <c r="E472" s="2">
        <v>49.0</v>
      </c>
      <c r="F472" s="2" t="s">
        <v>12</v>
      </c>
      <c r="G472" s="2" t="s">
        <v>23</v>
      </c>
      <c r="H472" s="2">
        <v>11.0</v>
      </c>
      <c r="I472" s="5" t="str">
        <f>IFERROR(VLOOKUP($C472, merchants!$A$2:$D$41, 2, FALSE), "Merchant not found")</f>
        <v>Merchant_003</v>
      </c>
      <c r="J472" s="5" t="str">
        <f>IFERROR(VLOOKUP($C472, merchants!$A$2:$D$41, 3, FALSE), "Merchant not found")</f>
        <v>grocery</v>
      </c>
      <c r="K472" s="5" t="str">
        <f>IFERROR(VLOOKUP($C472, merchants!$A$2:$D$41, 4, FALSE), "Merchant not found")</f>
        <v>East</v>
      </c>
      <c r="Q472" s="5">
        <f t="shared" si="1"/>
        <v>0.3</v>
      </c>
      <c r="R472" s="6">
        <f t="shared" si="2"/>
        <v>46045</v>
      </c>
      <c r="S472" s="5">
        <f t="shared" si="3"/>
        <v>49</v>
      </c>
      <c r="T472" s="5" t="str">
        <f t="shared" si="4"/>
        <v>Normal</v>
      </c>
    </row>
    <row r="473">
      <c r="A473" s="2" t="s">
        <v>590</v>
      </c>
      <c r="B473" s="2">
        <v>283.0</v>
      </c>
      <c r="C473" s="2">
        <v>31.0</v>
      </c>
      <c r="D473" s="4">
        <v>46035.51666666667</v>
      </c>
      <c r="E473" s="2">
        <v>299.0</v>
      </c>
      <c r="F473" s="2" t="s">
        <v>15</v>
      </c>
      <c r="G473" s="2" t="s">
        <v>23</v>
      </c>
      <c r="H473" s="2">
        <v>7.0</v>
      </c>
      <c r="I473" s="5" t="str">
        <f>IFERROR(VLOOKUP($C473, merchants!$A$2:$D$41, 2, FALSE), "Merchant not found")</f>
        <v>Merchant_031</v>
      </c>
      <c r="J473" s="5" t="str">
        <f>IFERROR(VLOOKUP($C473, merchants!$A$2:$D$41, 3, FALSE), "Merchant not found")</f>
        <v>bill_payment</v>
      </c>
      <c r="K473" s="5" t="str">
        <f>IFERROR(VLOOKUP($C473, merchants!$A$2:$D$41, 4, FALSE), "Merchant not found")</f>
        <v>East</v>
      </c>
      <c r="Q473" s="5">
        <f t="shared" si="1"/>
        <v>0.9</v>
      </c>
      <c r="R473" s="6">
        <f t="shared" si="2"/>
        <v>46035</v>
      </c>
      <c r="S473" s="5">
        <f t="shared" si="3"/>
        <v>299</v>
      </c>
      <c r="T473" s="5" t="str">
        <f t="shared" si="4"/>
        <v>Normal</v>
      </c>
    </row>
    <row r="474">
      <c r="A474" s="2" t="s">
        <v>591</v>
      </c>
      <c r="B474" s="2">
        <v>88.0</v>
      </c>
      <c r="C474" s="2">
        <v>6.0</v>
      </c>
      <c r="D474" s="4">
        <v>46043.03055555555</v>
      </c>
      <c r="E474" s="2">
        <v>49.0</v>
      </c>
      <c r="F474" s="2" t="s">
        <v>12</v>
      </c>
      <c r="G474" s="2" t="s">
        <v>23</v>
      </c>
      <c r="H474" s="2">
        <v>63.0</v>
      </c>
      <c r="I474" s="5" t="str">
        <f>IFERROR(VLOOKUP($C474, merchants!$A$2:$D$41, 2, FALSE), "Merchant not found")</f>
        <v>Merchant_006</v>
      </c>
      <c r="J474" s="5" t="str">
        <f>IFERROR(VLOOKUP($C474, merchants!$A$2:$D$41, 3, FALSE), "Merchant not found")</f>
        <v>food_delivery</v>
      </c>
      <c r="K474" s="5" t="str">
        <f>IFERROR(VLOOKUP($C474, merchants!$A$2:$D$41, 4, FALSE), "Merchant not found")</f>
        <v>South</v>
      </c>
      <c r="Q474" s="5">
        <f t="shared" si="1"/>
        <v>0.3</v>
      </c>
      <c r="R474" s="6">
        <f t="shared" si="2"/>
        <v>46043</v>
      </c>
      <c r="S474" s="5">
        <f t="shared" si="3"/>
        <v>49</v>
      </c>
      <c r="T474" s="5" t="str">
        <f t="shared" si="4"/>
        <v>Normal</v>
      </c>
    </row>
    <row r="475">
      <c r="A475" s="2" t="s">
        <v>592</v>
      </c>
      <c r="B475" s="2">
        <v>170.0</v>
      </c>
      <c r="C475" s="2">
        <v>37.0</v>
      </c>
      <c r="D475" s="4">
        <v>46050.57013888889</v>
      </c>
      <c r="E475" s="2">
        <v>99.0</v>
      </c>
      <c r="F475" s="2" t="s">
        <v>12</v>
      </c>
      <c r="G475" s="2" t="s">
        <v>61</v>
      </c>
      <c r="H475" s="2">
        <v>12.0</v>
      </c>
      <c r="I475" s="5" t="str">
        <f>IFERROR(VLOOKUP($C475, merchants!$A$2:$D$41, 2, FALSE), "Merchant not found")</f>
        <v>Merchant_037</v>
      </c>
      <c r="J475" s="5" t="str">
        <f>IFERROR(VLOOKUP($C475, merchants!$A$2:$D$41, 3, FALSE), "Merchant not found")</f>
        <v>entertainment</v>
      </c>
      <c r="K475" s="5" t="str">
        <f>IFERROR(VLOOKUP($C475, merchants!$A$2:$D$41, 4, FALSE), "Merchant not found")</f>
        <v>South</v>
      </c>
      <c r="Q475" s="5">
        <f t="shared" si="1"/>
        <v>0.3</v>
      </c>
      <c r="R475" s="6">
        <f t="shared" si="2"/>
        <v>46050</v>
      </c>
      <c r="S475" s="5">
        <f t="shared" si="3"/>
        <v>697</v>
      </c>
      <c r="T475" s="5" t="str">
        <f t="shared" si="4"/>
        <v>Normal</v>
      </c>
    </row>
    <row r="476">
      <c r="A476" s="2" t="s">
        <v>593</v>
      </c>
      <c r="B476" s="2">
        <v>22.0</v>
      </c>
      <c r="C476" s="2">
        <v>15.0</v>
      </c>
      <c r="D476" s="4">
        <v>46051.70694444444</v>
      </c>
      <c r="E476" s="2">
        <v>49.0</v>
      </c>
      <c r="F476" s="2" t="s">
        <v>15</v>
      </c>
      <c r="G476" s="2" t="s">
        <v>23</v>
      </c>
      <c r="H476" s="2">
        <v>27.0</v>
      </c>
      <c r="I476" s="5" t="str">
        <f>IFERROR(VLOOKUP($C476, merchants!$A$2:$D$41, 2, FALSE), "Merchant not found")</f>
        <v>Merchant_015</v>
      </c>
      <c r="J476" s="5" t="str">
        <f>IFERROR(VLOOKUP($C476, merchants!$A$2:$D$41, 3, FALSE), "Merchant not found")</f>
        <v>travel</v>
      </c>
      <c r="K476" s="5" t="str">
        <f>IFERROR(VLOOKUP($C476, merchants!$A$2:$D$41, 4, FALSE), "Merchant not found")</f>
        <v>North</v>
      </c>
      <c r="Q476" s="5">
        <f t="shared" si="1"/>
        <v>0.9</v>
      </c>
      <c r="R476" s="6">
        <f t="shared" si="2"/>
        <v>46051</v>
      </c>
      <c r="S476" s="5">
        <f t="shared" si="3"/>
        <v>98</v>
      </c>
      <c r="T476" s="5" t="str">
        <f t="shared" si="4"/>
        <v>Normal</v>
      </c>
    </row>
    <row r="477">
      <c r="A477" s="2" t="s">
        <v>594</v>
      </c>
      <c r="B477" s="2">
        <v>291.0</v>
      </c>
      <c r="C477" s="2">
        <v>31.0</v>
      </c>
      <c r="D477" s="4">
        <v>46051.955555555556</v>
      </c>
      <c r="E477" s="2">
        <v>49.0</v>
      </c>
      <c r="F477" s="2" t="s">
        <v>15</v>
      </c>
      <c r="G477" s="2" t="s">
        <v>61</v>
      </c>
      <c r="H477" s="2">
        <v>34.0</v>
      </c>
      <c r="I477" s="5" t="str">
        <f>IFERROR(VLOOKUP($C477, merchants!$A$2:$D$41, 2, FALSE), "Merchant not found")</f>
        <v>Merchant_031</v>
      </c>
      <c r="J477" s="5" t="str">
        <f>IFERROR(VLOOKUP($C477, merchants!$A$2:$D$41, 3, FALSE), "Merchant not found")</f>
        <v>bill_payment</v>
      </c>
      <c r="K477" s="5" t="str">
        <f>IFERROR(VLOOKUP($C477, merchants!$A$2:$D$41, 4, FALSE), "Merchant not found")</f>
        <v>East</v>
      </c>
      <c r="Q477" s="5">
        <f t="shared" si="1"/>
        <v>0.9</v>
      </c>
      <c r="R477" s="6">
        <f t="shared" si="2"/>
        <v>46051</v>
      </c>
      <c r="S477" s="5">
        <f t="shared" si="3"/>
        <v>49</v>
      </c>
      <c r="T477" s="5" t="str">
        <f t="shared" si="4"/>
        <v>Normal</v>
      </c>
    </row>
    <row r="478">
      <c r="A478" s="2" t="s">
        <v>595</v>
      </c>
      <c r="B478" s="2">
        <v>144.0</v>
      </c>
      <c r="C478" s="2">
        <v>35.0</v>
      </c>
      <c r="D478" s="4">
        <v>46024.11319444444</v>
      </c>
      <c r="E478" s="2">
        <v>1499.0</v>
      </c>
      <c r="F478" s="2" t="s">
        <v>12</v>
      </c>
      <c r="G478" s="2" t="s">
        <v>23</v>
      </c>
      <c r="H478" s="2">
        <v>72.0</v>
      </c>
      <c r="I478" s="5" t="str">
        <f>IFERROR(VLOOKUP($C478, merchants!$A$2:$D$41, 2, FALSE), "Merchant not found")</f>
        <v>Merchant_035</v>
      </c>
      <c r="J478" s="5" t="str">
        <f>IFERROR(VLOOKUP($C478, merchants!$A$2:$D$41, 3, FALSE), "Merchant not found")</f>
        <v>recharge</v>
      </c>
      <c r="K478" s="5" t="str">
        <f>IFERROR(VLOOKUP($C478, merchants!$A$2:$D$41, 4, FALSE), "Merchant not found")</f>
        <v>East</v>
      </c>
      <c r="Q478" s="5">
        <f t="shared" si="1"/>
        <v>0.3</v>
      </c>
      <c r="R478" s="6">
        <f t="shared" si="2"/>
        <v>46024</v>
      </c>
      <c r="S478" s="5">
        <f t="shared" si="3"/>
        <v>1847</v>
      </c>
      <c r="T478" s="5" t="str">
        <f t="shared" si="4"/>
        <v>Normal</v>
      </c>
    </row>
    <row r="479">
      <c r="A479" s="2" t="s">
        <v>596</v>
      </c>
      <c r="B479" s="2">
        <v>162.0</v>
      </c>
      <c r="C479" s="2">
        <v>2.0</v>
      </c>
      <c r="D479" s="4">
        <v>46044.049305555556</v>
      </c>
      <c r="E479" s="2">
        <v>299.0</v>
      </c>
      <c r="F479" s="2" t="s">
        <v>13</v>
      </c>
      <c r="G479" s="2" t="s">
        <v>23</v>
      </c>
      <c r="H479" s="2">
        <v>26.0</v>
      </c>
      <c r="I479" s="5" t="str">
        <f>IFERROR(VLOOKUP($C479, merchants!$A$2:$D$41, 2, FALSE), "Merchant not found")</f>
        <v>Merchant_002</v>
      </c>
      <c r="J479" s="5" t="str">
        <f>IFERROR(VLOOKUP($C479, merchants!$A$2:$D$41, 3, FALSE), "Merchant not found")</f>
        <v>grocery</v>
      </c>
      <c r="K479" s="5" t="str">
        <f>IFERROR(VLOOKUP($C479, merchants!$A$2:$D$41, 4, FALSE), "Merchant not found")</f>
        <v>West</v>
      </c>
      <c r="Q479" s="5">
        <f t="shared" si="1"/>
        <v>0.5</v>
      </c>
      <c r="R479" s="6">
        <f t="shared" si="2"/>
        <v>46044</v>
      </c>
      <c r="S479" s="5">
        <f t="shared" si="3"/>
        <v>299</v>
      </c>
      <c r="T479" s="5" t="str">
        <f t="shared" si="4"/>
        <v>Normal</v>
      </c>
    </row>
    <row r="480">
      <c r="A480" s="2" t="s">
        <v>597</v>
      </c>
      <c r="B480" s="2">
        <v>204.0</v>
      </c>
      <c r="C480" s="2">
        <v>5.0</v>
      </c>
      <c r="D480" s="4">
        <v>46041.2</v>
      </c>
      <c r="E480" s="2">
        <v>49.0</v>
      </c>
      <c r="F480" s="2" t="s">
        <v>12</v>
      </c>
      <c r="G480" s="2" t="s">
        <v>23</v>
      </c>
      <c r="H480" s="2">
        <v>38.0</v>
      </c>
      <c r="I480" s="5" t="str">
        <f>IFERROR(VLOOKUP($C480, merchants!$A$2:$D$41, 2, FALSE), "Merchant not found")</f>
        <v>Merchant_005</v>
      </c>
      <c r="J480" s="5" t="str">
        <f>IFERROR(VLOOKUP($C480, merchants!$A$2:$D$41, 3, FALSE), "Merchant not found")</f>
        <v>recharge</v>
      </c>
      <c r="K480" s="5" t="str">
        <f>IFERROR(VLOOKUP($C480, merchants!$A$2:$D$41, 4, FALSE), "Merchant not found")</f>
        <v>South</v>
      </c>
      <c r="Q480" s="5">
        <f t="shared" si="1"/>
        <v>0.3</v>
      </c>
      <c r="R480" s="6">
        <f t="shared" si="2"/>
        <v>46041</v>
      </c>
      <c r="S480" s="5">
        <f t="shared" si="3"/>
        <v>49</v>
      </c>
      <c r="T480" s="5" t="str">
        <f t="shared" si="4"/>
        <v>Normal</v>
      </c>
    </row>
    <row r="481">
      <c r="A481" s="2" t="s">
        <v>598</v>
      </c>
      <c r="B481" s="2">
        <v>291.0</v>
      </c>
      <c r="C481" s="2">
        <v>25.0</v>
      </c>
      <c r="D481" s="4">
        <v>46028.760416666664</v>
      </c>
      <c r="E481" s="2">
        <v>99.0</v>
      </c>
      <c r="F481" s="2" t="s">
        <v>13</v>
      </c>
      <c r="G481" s="2" t="s">
        <v>23</v>
      </c>
      <c r="H481" s="2">
        <v>86.0</v>
      </c>
      <c r="I481" s="5" t="str">
        <f>IFERROR(VLOOKUP($C481, merchants!$A$2:$D$41, 2, FALSE), "Merchant not found")</f>
        <v>Merchant_025</v>
      </c>
      <c r="J481" s="5" t="str">
        <f>IFERROR(VLOOKUP($C481, merchants!$A$2:$D$41, 3, FALSE), "Merchant not found")</f>
        <v>travel</v>
      </c>
      <c r="K481" s="5" t="str">
        <f>IFERROR(VLOOKUP($C481, merchants!$A$2:$D$41, 4, FALSE), "Merchant not found")</f>
        <v>South</v>
      </c>
      <c r="Q481" s="5">
        <f t="shared" si="1"/>
        <v>0.5</v>
      </c>
      <c r="R481" s="6">
        <f t="shared" si="2"/>
        <v>46028</v>
      </c>
      <c r="S481" s="5">
        <f t="shared" si="3"/>
        <v>898</v>
      </c>
      <c r="T481" s="5" t="str">
        <f t="shared" si="4"/>
        <v>Normal</v>
      </c>
    </row>
    <row r="482">
      <c r="A482" s="2" t="s">
        <v>599</v>
      </c>
      <c r="B482" s="2">
        <v>197.0</v>
      </c>
      <c r="C482" s="2">
        <v>9.0</v>
      </c>
      <c r="D482" s="4">
        <v>46051.722916666666</v>
      </c>
      <c r="E482" s="2">
        <v>49.0</v>
      </c>
      <c r="F482" s="2" t="s">
        <v>13</v>
      </c>
      <c r="G482" s="2" t="s">
        <v>61</v>
      </c>
      <c r="H482" s="2">
        <v>88.0</v>
      </c>
      <c r="I482" s="5" t="str">
        <f>IFERROR(VLOOKUP($C482, merchants!$A$2:$D$41, 2, FALSE), "Merchant not found")</f>
        <v>Merchant_009</v>
      </c>
      <c r="J482" s="5" t="str">
        <f>IFERROR(VLOOKUP($C482, merchants!$A$2:$D$41, 3, FALSE), "Merchant not found")</f>
        <v>ecommerce</v>
      </c>
      <c r="K482" s="5" t="str">
        <f>IFERROR(VLOOKUP($C482, merchants!$A$2:$D$41, 4, FALSE), "Merchant not found")</f>
        <v>North</v>
      </c>
      <c r="Q482" s="5">
        <f t="shared" si="1"/>
        <v>0.5</v>
      </c>
      <c r="R482" s="6">
        <f t="shared" si="2"/>
        <v>46051</v>
      </c>
      <c r="S482" s="5">
        <f t="shared" si="3"/>
        <v>49</v>
      </c>
      <c r="T482" s="5" t="str">
        <f t="shared" si="4"/>
        <v>Normal</v>
      </c>
    </row>
    <row r="483">
      <c r="A483" s="2" t="s">
        <v>600</v>
      </c>
      <c r="B483" s="2">
        <v>178.0</v>
      </c>
      <c r="C483" s="2">
        <v>4.0</v>
      </c>
      <c r="D483" s="4">
        <v>46046.10555555556</v>
      </c>
      <c r="E483" s="2">
        <v>1499.0</v>
      </c>
      <c r="F483" s="2" t="s">
        <v>12</v>
      </c>
      <c r="G483" s="2" t="s">
        <v>23</v>
      </c>
      <c r="H483" s="2">
        <v>12.0</v>
      </c>
      <c r="I483" s="5" t="str">
        <f>IFERROR(VLOOKUP($C483, merchants!$A$2:$D$41, 2, FALSE), "Merchant not found")</f>
        <v>Merchant_004</v>
      </c>
      <c r="J483" s="5" t="str">
        <f>IFERROR(VLOOKUP($C483, merchants!$A$2:$D$41, 3, FALSE), "Merchant not found")</f>
        <v>ecommerce</v>
      </c>
      <c r="K483" s="5" t="str">
        <f>IFERROR(VLOOKUP($C483, merchants!$A$2:$D$41, 4, FALSE), "Merchant not found")</f>
        <v>East</v>
      </c>
      <c r="Q483" s="5">
        <f t="shared" si="1"/>
        <v>0.3</v>
      </c>
      <c r="R483" s="6">
        <f t="shared" si="2"/>
        <v>46046</v>
      </c>
      <c r="S483" s="5">
        <f t="shared" si="3"/>
        <v>1499</v>
      </c>
      <c r="T483" s="5" t="str">
        <f t="shared" si="4"/>
        <v>Normal</v>
      </c>
    </row>
    <row r="484">
      <c r="A484" s="2" t="s">
        <v>601</v>
      </c>
      <c r="B484" s="2">
        <v>39.0</v>
      </c>
      <c r="C484" s="2">
        <v>22.0</v>
      </c>
      <c r="D484" s="4">
        <v>46036.32847222222</v>
      </c>
      <c r="E484" s="2">
        <v>799.0</v>
      </c>
      <c r="F484" s="2" t="s">
        <v>15</v>
      </c>
      <c r="G484" s="2" t="s">
        <v>23</v>
      </c>
      <c r="H484" s="2">
        <v>77.0</v>
      </c>
      <c r="I484" s="5" t="str">
        <f>IFERROR(VLOOKUP($C484, merchants!$A$2:$D$41, 2, FALSE), "Merchant not found")</f>
        <v>Merchant_022</v>
      </c>
      <c r="J484" s="5" t="str">
        <f>IFERROR(VLOOKUP($C484, merchants!$A$2:$D$41, 3, FALSE), "Merchant not found")</f>
        <v>travel</v>
      </c>
      <c r="K484" s="5" t="str">
        <f>IFERROR(VLOOKUP($C484, merchants!$A$2:$D$41, 4, FALSE), "Merchant not found")</f>
        <v>South</v>
      </c>
      <c r="Q484" s="5">
        <f t="shared" si="1"/>
        <v>0.9</v>
      </c>
      <c r="R484" s="6">
        <f t="shared" si="2"/>
        <v>46036</v>
      </c>
      <c r="S484" s="5">
        <f t="shared" si="3"/>
        <v>799</v>
      </c>
      <c r="T484" s="5" t="str">
        <f t="shared" si="4"/>
        <v>Normal</v>
      </c>
    </row>
    <row r="485">
      <c r="A485" s="2" t="s">
        <v>602</v>
      </c>
      <c r="B485" s="2">
        <v>204.0</v>
      </c>
      <c r="C485" s="2">
        <v>21.0</v>
      </c>
      <c r="D485" s="4">
        <v>46047.81805555556</v>
      </c>
      <c r="E485" s="2">
        <v>299.0</v>
      </c>
      <c r="F485" s="2" t="s">
        <v>13</v>
      </c>
      <c r="G485" s="2" t="s">
        <v>23</v>
      </c>
      <c r="H485" s="2">
        <v>3.0</v>
      </c>
      <c r="I485" s="5" t="str">
        <f>IFERROR(VLOOKUP($C485, merchants!$A$2:$D$41, 2, FALSE), "Merchant not found")</f>
        <v>Merchant_021</v>
      </c>
      <c r="J485" s="5" t="str">
        <f>IFERROR(VLOOKUP($C485, merchants!$A$2:$D$41, 3, FALSE), "Merchant not found")</f>
        <v>food_delivery</v>
      </c>
      <c r="K485" s="5" t="str">
        <f>IFERROR(VLOOKUP($C485, merchants!$A$2:$D$41, 4, FALSE), "Merchant not found")</f>
        <v>East</v>
      </c>
      <c r="Q485" s="5">
        <f t="shared" si="1"/>
        <v>0.5</v>
      </c>
      <c r="R485" s="6">
        <f t="shared" si="2"/>
        <v>46047</v>
      </c>
      <c r="S485" s="5">
        <f t="shared" si="3"/>
        <v>299</v>
      </c>
      <c r="T485" s="5" t="str">
        <f t="shared" si="4"/>
        <v>Normal</v>
      </c>
    </row>
    <row r="486">
      <c r="A486" s="2" t="s">
        <v>603</v>
      </c>
      <c r="B486" s="2">
        <v>231.0</v>
      </c>
      <c r="C486" s="2">
        <v>32.0</v>
      </c>
      <c r="D486" s="4">
        <v>46043.368055555555</v>
      </c>
      <c r="E486" s="2">
        <v>299.0</v>
      </c>
      <c r="F486" s="2" t="s">
        <v>12</v>
      </c>
      <c r="G486" s="2" t="s">
        <v>23</v>
      </c>
      <c r="H486" s="2">
        <v>29.0</v>
      </c>
      <c r="I486" s="5" t="str">
        <f>IFERROR(VLOOKUP($C486, merchants!$A$2:$D$41, 2, FALSE), "Merchant not found")</f>
        <v>Merchant_032</v>
      </c>
      <c r="J486" s="5" t="str">
        <f>IFERROR(VLOOKUP($C486, merchants!$A$2:$D$41, 3, FALSE), "Merchant not found")</f>
        <v>food_delivery</v>
      </c>
      <c r="K486" s="5" t="str">
        <f>IFERROR(VLOOKUP($C486, merchants!$A$2:$D$41, 4, FALSE), "Merchant not found")</f>
        <v>West</v>
      </c>
      <c r="Q486" s="5">
        <f t="shared" si="1"/>
        <v>0.3</v>
      </c>
      <c r="R486" s="6">
        <f t="shared" si="2"/>
        <v>46043</v>
      </c>
      <c r="S486" s="5">
        <f t="shared" si="3"/>
        <v>348</v>
      </c>
      <c r="T486" s="5" t="str">
        <f t="shared" si="4"/>
        <v>Normal</v>
      </c>
    </row>
    <row r="487">
      <c r="A487" s="2" t="s">
        <v>604</v>
      </c>
      <c r="B487" s="2">
        <v>222.0</v>
      </c>
      <c r="C487" s="2">
        <v>12.0</v>
      </c>
      <c r="D487" s="4">
        <v>46034.725</v>
      </c>
      <c r="E487" s="2">
        <v>499.0</v>
      </c>
      <c r="F487" s="2" t="s">
        <v>13</v>
      </c>
      <c r="G487" s="2" t="s">
        <v>61</v>
      </c>
      <c r="H487" s="2">
        <v>87.0</v>
      </c>
      <c r="I487" s="5" t="str">
        <f>IFERROR(VLOOKUP($C487, merchants!$A$2:$D$41, 2, FALSE), "Merchant not found")</f>
        <v>Merchant_012</v>
      </c>
      <c r="J487" s="5" t="str">
        <f>IFERROR(VLOOKUP($C487, merchants!$A$2:$D$41, 3, FALSE), "Merchant not found")</f>
        <v>ecommerce</v>
      </c>
      <c r="K487" s="5" t="str">
        <f>IFERROR(VLOOKUP($C487, merchants!$A$2:$D$41, 4, FALSE), "Merchant not found")</f>
        <v>East</v>
      </c>
      <c r="Q487" s="5">
        <f t="shared" si="1"/>
        <v>0.5</v>
      </c>
      <c r="R487" s="6">
        <f t="shared" si="2"/>
        <v>46034</v>
      </c>
      <c r="S487" s="5">
        <f t="shared" si="3"/>
        <v>1998</v>
      </c>
      <c r="T487" s="5" t="str">
        <f t="shared" si="4"/>
        <v>Normal</v>
      </c>
    </row>
    <row r="488">
      <c r="A488" s="2" t="s">
        <v>605</v>
      </c>
      <c r="B488" s="2">
        <v>44.0</v>
      </c>
      <c r="C488" s="2">
        <v>40.0</v>
      </c>
      <c r="D488" s="4">
        <v>46041.89166666667</v>
      </c>
      <c r="E488" s="2">
        <v>499.0</v>
      </c>
      <c r="F488" s="2" t="s">
        <v>12</v>
      </c>
      <c r="G488" s="2" t="s">
        <v>23</v>
      </c>
      <c r="H488" s="2">
        <v>37.0</v>
      </c>
      <c r="I488" s="5" t="str">
        <f>IFERROR(VLOOKUP($C488, merchants!$A$2:$D$41, 2, FALSE), "Merchant not found")</f>
        <v>Merchant_040</v>
      </c>
      <c r="J488" s="5" t="str">
        <f>IFERROR(VLOOKUP($C488, merchants!$A$2:$D$41, 3, FALSE), "Merchant not found")</f>
        <v>entertainment</v>
      </c>
      <c r="K488" s="5" t="str">
        <f>IFERROR(VLOOKUP($C488, merchants!$A$2:$D$41, 4, FALSE), "Merchant not found")</f>
        <v>South</v>
      </c>
      <c r="Q488" s="5">
        <f t="shared" si="1"/>
        <v>0.3</v>
      </c>
      <c r="R488" s="6">
        <f t="shared" si="2"/>
        <v>46041</v>
      </c>
      <c r="S488" s="5">
        <f t="shared" si="3"/>
        <v>648</v>
      </c>
      <c r="T488" s="5" t="str">
        <f t="shared" si="4"/>
        <v>Normal</v>
      </c>
    </row>
    <row r="489">
      <c r="A489" s="2" t="s">
        <v>606</v>
      </c>
      <c r="B489" s="2">
        <v>38.0</v>
      </c>
      <c r="C489" s="2">
        <v>6.0</v>
      </c>
      <c r="D489" s="4">
        <v>46048.322916666664</v>
      </c>
      <c r="E489" s="2">
        <v>49.0</v>
      </c>
      <c r="F489" s="2" t="s">
        <v>13</v>
      </c>
      <c r="G489" s="2" t="s">
        <v>23</v>
      </c>
      <c r="H489" s="2">
        <v>34.0</v>
      </c>
      <c r="I489" s="5" t="str">
        <f>IFERROR(VLOOKUP($C489, merchants!$A$2:$D$41, 2, FALSE), "Merchant not found")</f>
        <v>Merchant_006</v>
      </c>
      <c r="J489" s="5" t="str">
        <f>IFERROR(VLOOKUP($C489, merchants!$A$2:$D$41, 3, FALSE), "Merchant not found")</f>
        <v>food_delivery</v>
      </c>
      <c r="K489" s="5" t="str">
        <f>IFERROR(VLOOKUP($C489, merchants!$A$2:$D$41, 4, FALSE), "Merchant not found")</f>
        <v>South</v>
      </c>
      <c r="Q489" s="5">
        <f t="shared" si="1"/>
        <v>0.5</v>
      </c>
      <c r="R489" s="6">
        <f t="shared" si="2"/>
        <v>46048</v>
      </c>
      <c r="S489" s="5">
        <f t="shared" si="3"/>
        <v>897</v>
      </c>
      <c r="T489" s="5" t="str">
        <f t="shared" si="4"/>
        <v>Normal</v>
      </c>
    </row>
    <row r="490">
      <c r="A490" s="2" t="s">
        <v>607</v>
      </c>
      <c r="B490" s="2">
        <v>325.0</v>
      </c>
      <c r="C490" s="2">
        <v>10.0</v>
      </c>
      <c r="D490" s="4">
        <v>46027.53125</v>
      </c>
      <c r="E490" s="2">
        <v>49.0</v>
      </c>
      <c r="F490" s="2" t="s">
        <v>15</v>
      </c>
      <c r="G490" s="2" t="s">
        <v>69</v>
      </c>
      <c r="H490" s="2">
        <v>94.0</v>
      </c>
      <c r="I490" s="5" t="str">
        <f>IFERROR(VLOOKUP($C490, merchants!$A$2:$D$41, 2, FALSE), "Merchant not found")</f>
        <v>Merchant_010</v>
      </c>
      <c r="J490" s="5" t="str">
        <f>IFERROR(VLOOKUP($C490, merchants!$A$2:$D$41, 3, FALSE), "Merchant not found")</f>
        <v>grocery</v>
      </c>
      <c r="K490" s="5" t="str">
        <f>IFERROR(VLOOKUP($C490, merchants!$A$2:$D$41, 4, FALSE), "Merchant not found")</f>
        <v>West</v>
      </c>
      <c r="Q490" s="5">
        <f t="shared" si="1"/>
        <v>0.9</v>
      </c>
      <c r="R490" s="6">
        <f t="shared" si="2"/>
        <v>46027</v>
      </c>
      <c r="S490" s="5">
        <f t="shared" si="3"/>
        <v>49</v>
      </c>
      <c r="T490" s="5" t="str">
        <f t="shared" si="4"/>
        <v>Normal</v>
      </c>
    </row>
    <row r="491">
      <c r="A491" s="2" t="s">
        <v>608</v>
      </c>
      <c r="B491" s="2">
        <v>55.0</v>
      </c>
      <c r="C491" s="2">
        <v>6.0</v>
      </c>
      <c r="D491" s="4">
        <v>46035.43263888889</v>
      </c>
      <c r="E491" s="2">
        <v>1499.0</v>
      </c>
      <c r="F491" s="2" t="s">
        <v>14</v>
      </c>
      <c r="G491" s="2" t="s">
        <v>23</v>
      </c>
      <c r="H491" s="2">
        <v>0.0</v>
      </c>
      <c r="I491" s="5" t="str">
        <f>IFERROR(VLOOKUP($C491, merchants!$A$2:$D$41, 2, FALSE), "Merchant not found")</f>
        <v>Merchant_006</v>
      </c>
      <c r="J491" s="5" t="str">
        <f>IFERROR(VLOOKUP($C491, merchants!$A$2:$D$41, 3, FALSE), "Merchant not found")</f>
        <v>food_delivery</v>
      </c>
      <c r="K491" s="5" t="str">
        <f>IFERROR(VLOOKUP($C491, merchants!$A$2:$D$41, 4, FALSE), "Merchant not found")</f>
        <v>South</v>
      </c>
      <c r="Q491" s="5">
        <f t="shared" si="1"/>
        <v>1.5</v>
      </c>
      <c r="R491" s="6">
        <f t="shared" si="2"/>
        <v>46035</v>
      </c>
      <c r="S491" s="5">
        <f t="shared" si="3"/>
        <v>1499</v>
      </c>
      <c r="T491" s="5" t="str">
        <f t="shared" si="4"/>
        <v>Normal</v>
      </c>
    </row>
    <row r="492">
      <c r="A492" s="2" t="s">
        <v>609</v>
      </c>
      <c r="B492" s="2">
        <v>139.0</v>
      </c>
      <c r="C492" s="2">
        <v>7.0</v>
      </c>
      <c r="D492" s="4">
        <v>46032.59930555556</v>
      </c>
      <c r="E492" s="2">
        <v>499.0</v>
      </c>
      <c r="F492" s="2" t="s">
        <v>14</v>
      </c>
      <c r="G492" s="2" t="s">
        <v>23</v>
      </c>
      <c r="H492" s="2">
        <v>16.0</v>
      </c>
      <c r="I492" s="5" t="str">
        <f>IFERROR(VLOOKUP($C492, merchants!$A$2:$D$41, 2, FALSE), "Merchant not found")</f>
        <v>Merchant_007</v>
      </c>
      <c r="J492" s="5" t="str">
        <f>IFERROR(VLOOKUP($C492, merchants!$A$2:$D$41, 3, FALSE), "Merchant not found")</f>
        <v>food_delivery</v>
      </c>
      <c r="K492" s="5" t="str">
        <f>IFERROR(VLOOKUP($C492, merchants!$A$2:$D$41, 4, FALSE), "Merchant not found")</f>
        <v>East</v>
      </c>
      <c r="Q492" s="5">
        <f t="shared" si="1"/>
        <v>1.5</v>
      </c>
      <c r="R492" s="6">
        <f t="shared" si="2"/>
        <v>46032</v>
      </c>
      <c r="S492" s="5">
        <f t="shared" si="3"/>
        <v>499</v>
      </c>
      <c r="T492" s="5" t="str">
        <f t="shared" si="4"/>
        <v>Normal</v>
      </c>
    </row>
    <row r="493">
      <c r="A493" s="2" t="s">
        <v>610</v>
      </c>
      <c r="B493" s="2">
        <v>230.0</v>
      </c>
      <c r="C493" s="2">
        <v>36.0</v>
      </c>
      <c r="D493" s="4">
        <v>46025.22708333333</v>
      </c>
      <c r="E493" s="2">
        <v>99.0</v>
      </c>
      <c r="F493" s="2" t="s">
        <v>13</v>
      </c>
      <c r="G493" s="2" t="s">
        <v>23</v>
      </c>
      <c r="H493" s="2">
        <v>71.0</v>
      </c>
      <c r="I493" s="5" t="str">
        <f>IFERROR(VLOOKUP($C493, merchants!$A$2:$D$41, 2, FALSE), "Merchant not found")</f>
        <v>Merchant_036</v>
      </c>
      <c r="J493" s="5" t="str">
        <f>IFERROR(VLOOKUP($C493, merchants!$A$2:$D$41, 3, FALSE), "Merchant not found")</f>
        <v>entertainment</v>
      </c>
      <c r="K493" s="5" t="str">
        <f>IFERROR(VLOOKUP($C493, merchants!$A$2:$D$41, 4, FALSE), "Merchant not found")</f>
        <v>East</v>
      </c>
      <c r="Q493" s="5">
        <f t="shared" si="1"/>
        <v>0.5</v>
      </c>
      <c r="R493" s="6">
        <f t="shared" si="2"/>
        <v>46025</v>
      </c>
      <c r="S493" s="5">
        <f t="shared" si="3"/>
        <v>248</v>
      </c>
      <c r="T493" s="5" t="str">
        <f t="shared" si="4"/>
        <v>Normal</v>
      </c>
    </row>
    <row r="494">
      <c r="A494" s="2" t="s">
        <v>611</v>
      </c>
      <c r="B494" s="2">
        <v>14.0</v>
      </c>
      <c r="C494" s="2">
        <v>6.0</v>
      </c>
      <c r="D494" s="4">
        <v>46039.54583333333</v>
      </c>
      <c r="E494" s="2">
        <v>799.0</v>
      </c>
      <c r="F494" s="2" t="s">
        <v>14</v>
      </c>
      <c r="G494" s="2" t="s">
        <v>23</v>
      </c>
      <c r="H494" s="2">
        <v>45.0</v>
      </c>
      <c r="I494" s="5" t="str">
        <f>IFERROR(VLOOKUP($C494, merchants!$A$2:$D$41, 2, FALSE), "Merchant not found")</f>
        <v>Merchant_006</v>
      </c>
      <c r="J494" s="5" t="str">
        <f>IFERROR(VLOOKUP($C494, merchants!$A$2:$D$41, 3, FALSE), "Merchant not found")</f>
        <v>food_delivery</v>
      </c>
      <c r="K494" s="5" t="str">
        <f>IFERROR(VLOOKUP($C494, merchants!$A$2:$D$41, 4, FALSE), "Merchant not found")</f>
        <v>South</v>
      </c>
      <c r="Q494" s="5">
        <f t="shared" si="1"/>
        <v>1.5</v>
      </c>
      <c r="R494" s="6">
        <f t="shared" si="2"/>
        <v>46039</v>
      </c>
      <c r="S494" s="5">
        <f t="shared" si="3"/>
        <v>799</v>
      </c>
      <c r="T494" s="5" t="str">
        <f t="shared" si="4"/>
        <v>Normal</v>
      </c>
    </row>
    <row r="495">
      <c r="A495" s="2" t="s">
        <v>612</v>
      </c>
      <c r="B495" s="2">
        <v>307.0</v>
      </c>
      <c r="C495" s="2">
        <v>21.0</v>
      </c>
      <c r="D495" s="4">
        <v>46040.10972222222</v>
      </c>
      <c r="E495" s="2">
        <v>799.0</v>
      </c>
      <c r="F495" s="2" t="s">
        <v>12</v>
      </c>
      <c r="G495" s="2" t="s">
        <v>23</v>
      </c>
      <c r="H495" s="2">
        <v>49.0</v>
      </c>
      <c r="I495" s="5" t="str">
        <f>IFERROR(VLOOKUP($C495, merchants!$A$2:$D$41, 2, FALSE), "Merchant not found")</f>
        <v>Merchant_021</v>
      </c>
      <c r="J495" s="5" t="str">
        <f>IFERROR(VLOOKUP($C495, merchants!$A$2:$D$41, 3, FALSE), "Merchant not found")</f>
        <v>food_delivery</v>
      </c>
      <c r="K495" s="5" t="str">
        <f>IFERROR(VLOOKUP($C495, merchants!$A$2:$D$41, 4, FALSE), "Merchant not found")</f>
        <v>East</v>
      </c>
      <c r="Q495" s="5">
        <f t="shared" si="1"/>
        <v>0.3</v>
      </c>
      <c r="R495" s="6">
        <f t="shared" si="2"/>
        <v>46040</v>
      </c>
      <c r="S495" s="5">
        <f t="shared" si="3"/>
        <v>799</v>
      </c>
      <c r="T495" s="5" t="str">
        <f t="shared" si="4"/>
        <v>Normal</v>
      </c>
    </row>
    <row r="496">
      <c r="A496" s="2" t="s">
        <v>613</v>
      </c>
      <c r="B496" s="2">
        <v>199.0</v>
      </c>
      <c r="C496" s="2">
        <v>6.0</v>
      </c>
      <c r="D496" s="4">
        <v>46023.393055555556</v>
      </c>
      <c r="E496" s="2">
        <v>49.0</v>
      </c>
      <c r="F496" s="2" t="s">
        <v>12</v>
      </c>
      <c r="G496" s="2" t="s">
        <v>23</v>
      </c>
      <c r="H496" s="2">
        <v>92.0</v>
      </c>
      <c r="I496" s="5" t="str">
        <f>IFERROR(VLOOKUP($C496, merchants!$A$2:$D$41, 2, FALSE), "Merchant not found")</f>
        <v>Merchant_006</v>
      </c>
      <c r="J496" s="5" t="str">
        <f>IFERROR(VLOOKUP($C496, merchants!$A$2:$D$41, 3, FALSE), "Merchant not found")</f>
        <v>food_delivery</v>
      </c>
      <c r="K496" s="5" t="str">
        <f>IFERROR(VLOOKUP($C496, merchants!$A$2:$D$41, 4, FALSE), "Merchant not found")</f>
        <v>South</v>
      </c>
      <c r="Q496" s="5">
        <f t="shared" si="1"/>
        <v>0.3</v>
      </c>
      <c r="R496" s="6">
        <f t="shared" si="2"/>
        <v>46023</v>
      </c>
      <c r="S496" s="5">
        <f t="shared" si="3"/>
        <v>49</v>
      </c>
      <c r="T496" s="5" t="str">
        <f t="shared" si="4"/>
        <v>Normal</v>
      </c>
    </row>
    <row r="497">
      <c r="A497" s="2" t="s">
        <v>614</v>
      </c>
      <c r="B497" s="2">
        <v>125.0</v>
      </c>
      <c r="C497" s="2">
        <v>37.0</v>
      </c>
      <c r="D497" s="4">
        <v>46051.74791666667</v>
      </c>
      <c r="E497" s="2">
        <v>149.0</v>
      </c>
      <c r="F497" s="2" t="s">
        <v>13</v>
      </c>
      <c r="G497" s="2" t="s">
        <v>23</v>
      </c>
      <c r="H497" s="2">
        <v>66.0</v>
      </c>
      <c r="I497" s="5" t="str">
        <f>IFERROR(VLOOKUP($C497, merchants!$A$2:$D$41, 2, FALSE), "Merchant not found")</f>
        <v>Merchant_037</v>
      </c>
      <c r="J497" s="5" t="str">
        <f>IFERROR(VLOOKUP($C497, merchants!$A$2:$D$41, 3, FALSE), "Merchant not found")</f>
        <v>entertainment</v>
      </c>
      <c r="K497" s="5" t="str">
        <f>IFERROR(VLOOKUP($C497, merchants!$A$2:$D$41, 4, FALSE), "Merchant not found")</f>
        <v>South</v>
      </c>
      <c r="Q497" s="5">
        <f t="shared" si="1"/>
        <v>0.5</v>
      </c>
      <c r="R497" s="6">
        <f t="shared" si="2"/>
        <v>46051</v>
      </c>
      <c r="S497" s="5">
        <f t="shared" si="3"/>
        <v>149</v>
      </c>
      <c r="T497" s="5" t="str">
        <f t="shared" si="4"/>
        <v>Normal</v>
      </c>
    </row>
    <row r="498">
      <c r="A498" s="2" t="s">
        <v>615</v>
      </c>
      <c r="B498" s="2">
        <v>87.0</v>
      </c>
      <c r="C498" s="2">
        <v>9.0</v>
      </c>
      <c r="D498" s="4">
        <v>46028.89166666667</v>
      </c>
      <c r="E498" s="2">
        <v>149.0</v>
      </c>
      <c r="F498" s="2" t="s">
        <v>12</v>
      </c>
      <c r="G498" s="2" t="s">
        <v>23</v>
      </c>
      <c r="H498" s="2">
        <v>34.0</v>
      </c>
      <c r="I498" s="5" t="str">
        <f>IFERROR(VLOOKUP($C498, merchants!$A$2:$D$41, 2, FALSE), "Merchant not found")</f>
        <v>Merchant_009</v>
      </c>
      <c r="J498" s="5" t="str">
        <f>IFERROR(VLOOKUP($C498, merchants!$A$2:$D$41, 3, FALSE), "Merchant not found")</f>
        <v>ecommerce</v>
      </c>
      <c r="K498" s="5" t="str">
        <f>IFERROR(VLOOKUP($C498, merchants!$A$2:$D$41, 4, FALSE), "Merchant not found")</f>
        <v>North</v>
      </c>
      <c r="Q498" s="5">
        <f t="shared" si="1"/>
        <v>0.3</v>
      </c>
      <c r="R498" s="6">
        <f t="shared" si="2"/>
        <v>46028</v>
      </c>
      <c r="S498" s="5">
        <f t="shared" si="3"/>
        <v>149</v>
      </c>
      <c r="T498" s="5" t="str">
        <f t="shared" si="4"/>
        <v>Normal</v>
      </c>
    </row>
    <row r="499">
      <c r="A499" s="2" t="s">
        <v>616</v>
      </c>
      <c r="B499" s="2">
        <v>75.0</v>
      </c>
      <c r="C499" s="2">
        <v>5.0</v>
      </c>
      <c r="D499" s="4">
        <v>46032.35486111111</v>
      </c>
      <c r="E499" s="2">
        <v>99.0</v>
      </c>
      <c r="F499" s="2" t="s">
        <v>12</v>
      </c>
      <c r="G499" s="2" t="s">
        <v>23</v>
      </c>
      <c r="H499" s="2">
        <v>21.0</v>
      </c>
      <c r="I499" s="5" t="str">
        <f>IFERROR(VLOOKUP($C499, merchants!$A$2:$D$41, 2, FALSE), "Merchant not found")</f>
        <v>Merchant_005</v>
      </c>
      <c r="J499" s="5" t="str">
        <f>IFERROR(VLOOKUP($C499, merchants!$A$2:$D$41, 3, FALSE), "Merchant not found")</f>
        <v>recharge</v>
      </c>
      <c r="K499" s="5" t="str">
        <f>IFERROR(VLOOKUP($C499, merchants!$A$2:$D$41, 4, FALSE), "Merchant not found")</f>
        <v>South</v>
      </c>
      <c r="Q499" s="5">
        <f t="shared" si="1"/>
        <v>0.3</v>
      </c>
      <c r="R499" s="6">
        <f t="shared" si="2"/>
        <v>46032</v>
      </c>
      <c r="S499" s="5">
        <f t="shared" si="3"/>
        <v>99</v>
      </c>
      <c r="T499" s="5" t="str">
        <f t="shared" si="4"/>
        <v>Normal</v>
      </c>
    </row>
    <row r="500">
      <c r="A500" s="2" t="s">
        <v>617</v>
      </c>
      <c r="B500" s="2">
        <v>154.0</v>
      </c>
      <c r="C500" s="2">
        <v>31.0</v>
      </c>
      <c r="D500" s="4">
        <v>46036.35138888889</v>
      </c>
      <c r="E500" s="2">
        <v>499.0</v>
      </c>
      <c r="F500" s="2" t="s">
        <v>13</v>
      </c>
      <c r="G500" s="2" t="s">
        <v>23</v>
      </c>
      <c r="H500" s="2">
        <v>100.0</v>
      </c>
      <c r="I500" s="5" t="str">
        <f>IFERROR(VLOOKUP($C500, merchants!$A$2:$D$41, 2, FALSE), "Merchant not found")</f>
        <v>Merchant_031</v>
      </c>
      <c r="J500" s="5" t="str">
        <f>IFERROR(VLOOKUP($C500, merchants!$A$2:$D$41, 3, FALSE), "Merchant not found")</f>
        <v>bill_payment</v>
      </c>
      <c r="K500" s="5" t="str">
        <f>IFERROR(VLOOKUP($C500, merchants!$A$2:$D$41, 4, FALSE), "Merchant not found")</f>
        <v>East</v>
      </c>
      <c r="Q500" s="5">
        <f t="shared" si="1"/>
        <v>0.5</v>
      </c>
      <c r="R500" s="6">
        <f t="shared" si="2"/>
        <v>46036</v>
      </c>
      <c r="S500" s="5">
        <f t="shared" si="3"/>
        <v>499</v>
      </c>
      <c r="T500" s="5" t="str">
        <f t="shared" si="4"/>
        <v>Normal</v>
      </c>
    </row>
    <row r="501">
      <c r="A501" s="2" t="s">
        <v>618</v>
      </c>
      <c r="B501" s="2">
        <v>127.0</v>
      </c>
      <c r="C501" s="2">
        <v>32.0</v>
      </c>
      <c r="D501" s="4">
        <v>46025.46944444445</v>
      </c>
      <c r="E501" s="2">
        <v>149.0</v>
      </c>
      <c r="F501" s="2" t="s">
        <v>14</v>
      </c>
      <c r="G501" s="2" t="s">
        <v>23</v>
      </c>
      <c r="H501" s="2">
        <v>76.0</v>
      </c>
      <c r="I501" s="5" t="str">
        <f>IFERROR(VLOOKUP($C501, merchants!$A$2:$D$41, 2, FALSE), "Merchant not found")</f>
        <v>Merchant_032</v>
      </c>
      <c r="J501" s="5" t="str">
        <f>IFERROR(VLOOKUP($C501, merchants!$A$2:$D$41, 3, FALSE), "Merchant not found")</f>
        <v>food_delivery</v>
      </c>
      <c r="K501" s="5" t="str">
        <f>IFERROR(VLOOKUP($C501, merchants!$A$2:$D$41, 4, FALSE), "Merchant not found")</f>
        <v>West</v>
      </c>
      <c r="Q501" s="5">
        <f t="shared" si="1"/>
        <v>1.5</v>
      </c>
      <c r="R501" s="6">
        <f t="shared" si="2"/>
        <v>46025</v>
      </c>
      <c r="S501" s="5">
        <f t="shared" si="3"/>
        <v>149</v>
      </c>
      <c r="T501" s="5" t="str">
        <f t="shared" si="4"/>
        <v>Normal</v>
      </c>
    </row>
    <row r="502">
      <c r="A502" s="2" t="s">
        <v>619</v>
      </c>
      <c r="B502" s="2">
        <v>351.0</v>
      </c>
      <c r="C502" s="2">
        <v>7.0</v>
      </c>
      <c r="D502" s="4">
        <v>46052.25</v>
      </c>
      <c r="E502" s="2">
        <v>1999.0</v>
      </c>
      <c r="F502" s="2" t="s">
        <v>14</v>
      </c>
      <c r="G502" s="2" t="s">
        <v>69</v>
      </c>
      <c r="H502" s="2">
        <v>79.0</v>
      </c>
      <c r="I502" s="5" t="str">
        <f>IFERROR(VLOOKUP($C502, merchants!$A$2:$D$41, 2, FALSE), "Merchant not found")</f>
        <v>Merchant_007</v>
      </c>
      <c r="J502" s="5" t="str">
        <f>IFERROR(VLOOKUP($C502, merchants!$A$2:$D$41, 3, FALSE), "Merchant not found")</f>
        <v>food_delivery</v>
      </c>
      <c r="K502" s="5" t="str">
        <f>IFERROR(VLOOKUP($C502, merchants!$A$2:$D$41, 4, FALSE), "Merchant not found")</f>
        <v>East</v>
      </c>
      <c r="Q502" s="5">
        <f t="shared" si="1"/>
        <v>1.5</v>
      </c>
      <c r="R502" s="6">
        <f t="shared" si="2"/>
        <v>46052</v>
      </c>
      <c r="S502" s="5">
        <f t="shared" si="3"/>
        <v>1999</v>
      </c>
      <c r="T502" s="5" t="str">
        <f t="shared" si="4"/>
        <v>Normal</v>
      </c>
    </row>
    <row r="503">
      <c r="A503" s="2" t="s">
        <v>620</v>
      </c>
      <c r="B503" s="2">
        <v>352.0</v>
      </c>
      <c r="C503" s="2">
        <v>40.0</v>
      </c>
      <c r="D503" s="4">
        <v>46033.5</v>
      </c>
      <c r="E503" s="2">
        <v>4999.0</v>
      </c>
      <c r="F503" s="2" t="s">
        <v>14</v>
      </c>
      <c r="G503" s="2" t="s">
        <v>69</v>
      </c>
      <c r="H503" s="2">
        <v>95.0</v>
      </c>
      <c r="I503" s="5" t="str">
        <f>IFERROR(VLOOKUP($C503, merchants!$A$2:$D$41, 2, FALSE), "Merchant not found")</f>
        <v>Merchant_040</v>
      </c>
      <c r="J503" s="5" t="str">
        <f>IFERROR(VLOOKUP($C503, merchants!$A$2:$D$41, 3, FALSE), "Merchant not found")</f>
        <v>entertainment</v>
      </c>
      <c r="K503" s="5" t="str">
        <f>IFERROR(VLOOKUP($C503, merchants!$A$2:$D$41, 4, FALSE), "Merchant not found")</f>
        <v>South</v>
      </c>
      <c r="Q503" s="5">
        <f t="shared" si="1"/>
        <v>1.5</v>
      </c>
      <c r="R503" s="6">
        <f t="shared" si="2"/>
        <v>46033</v>
      </c>
      <c r="S503" s="5">
        <f t="shared" si="3"/>
        <v>4999</v>
      </c>
      <c r="T503" s="5" t="str">
        <f t="shared" si="4"/>
        <v>Normal</v>
      </c>
    </row>
    <row r="504">
      <c r="A504" s="2" t="s">
        <v>621</v>
      </c>
      <c r="B504" s="2">
        <v>353.0</v>
      </c>
      <c r="C504" s="2">
        <v>28.0</v>
      </c>
      <c r="D504" s="4">
        <v>46043.583333333336</v>
      </c>
      <c r="E504" s="2">
        <v>1999.0</v>
      </c>
      <c r="F504" s="2" t="s">
        <v>14</v>
      </c>
      <c r="G504" s="2" t="s">
        <v>69</v>
      </c>
      <c r="H504" s="2">
        <v>79.0</v>
      </c>
      <c r="I504" s="5" t="str">
        <f>IFERROR(VLOOKUP($C504, merchants!$A$2:$D$41, 2, FALSE), "Merchant not found")</f>
        <v>Merchant_028</v>
      </c>
      <c r="J504" s="5" t="str">
        <f>IFERROR(VLOOKUP($C504, merchants!$A$2:$D$41, 3, FALSE), "Merchant not found")</f>
        <v>ecommerce</v>
      </c>
      <c r="K504" s="5" t="str">
        <f>IFERROR(VLOOKUP($C504, merchants!$A$2:$D$41, 4, FALSE), "Merchant not found")</f>
        <v>South</v>
      </c>
      <c r="Q504" s="5">
        <f t="shared" si="1"/>
        <v>1.5</v>
      </c>
      <c r="R504" s="6">
        <f t="shared" si="2"/>
        <v>46043</v>
      </c>
      <c r="S504" s="5">
        <f t="shared" si="3"/>
        <v>1999</v>
      </c>
      <c r="T504" s="5" t="str">
        <f t="shared" si="4"/>
        <v>Normal</v>
      </c>
    </row>
    <row r="505">
      <c r="A505" s="2" t="s">
        <v>622</v>
      </c>
      <c r="B505" s="2">
        <v>354.0</v>
      </c>
      <c r="C505" s="2">
        <v>13.0</v>
      </c>
      <c r="D505" s="4">
        <v>46043.791666666664</v>
      </c>
      <c r="E505" s="2">
        <v>4999.0</v>
      </c>
      <c r="F505" s="2" t="s">
        <v>14</v>
      </c>
      <c r="G505" s="2" t="s">
        <v>69</v>
      </c>
      <c r="H505" s="2">
        <v>80.0</v>
      </c>
      <c r="I505" s="5" t="str">
        <f>IFERROR(VLOOKUP($C505, merchants!$A$2:$D$41, 2, FALSE), "Merchant not found")</f>
        <v>Merchant_013</v>
      </c>
      <c r="J505" s="5" t="str">
        <f>IFERROR(VLOOKUP($C505, merchants!$A$2:$D$41, 3, FALSE), "Merchant not found")</f>
        <v>travel</v>
      </c>
      <c r="K505" s="5" t="str">
        <f>IFERROR(VLOOKUP($C505, merchants!$A$2:$D$41, 4, FALSE), "Merchant not found")</f>
        <v>East</v>
      </c>
      <c r="Q505" s="5">
        <f t="shared" si="1"/>
        <v>1.5</v>
      </c>
      <c r="R505" s="6">
        <f t="shared" si="2"/>
        <v>46043</v>
      </c>
      <c r="S505" s="5">
        <f t="shared" si="3"/>
        <v>4999</v>
      </c>
      <c r="T505" s="5" t="str">
        <f t="shared" si="4"/>
        <v>Normal</v>
      </c>
    </row>
    <row r="506">
      <c r="A506" s="2" t="s">
        <v>623</v>
      </c>
      <c r="B506" s="2">
        <v>355.0</v>
      </c>
      <c r="C506" s="2">
        <v>19.0</v>
      </c>
      <c r="D506" s="4">
        <v>46038.5</v>
      </c>
      <c r="E506" s="2">
        <v>4999.0</v>
      </c>
      <c r="F506" s="2" t="s">
        <v>14</v>
      </c>
      <c r="G506" s="2" t="s">
        <v>69</v>
      </c>
      <c r="H506" s="2">
        <v>100.0</v>
      </c>
      <c r="I506" s="5" t="str">
        <f>IFERROR(VLOOKUP($C506, merchants!$A$2:$D$41, 2, FALSE), "Merchant not found")</f>
        <v>Merchant_019</v>
      </c>
      <c r="J506" s="5" t="str">
        <f>IFERROR(VLOOKUP($C506, merchants!$A$2:$D$41, 3, FALSE), "Merchant not found")</f>
        <v>grocery</v>
      </c>
      <c r="K506" s="5" t="str">
        <f>IFERROR(VLOOKUP($C506, merchants!$A$2:$D$41, 4, FALSE), "Merchant not found")</f>
        <v>North</v>
      </c>
      <c r="Q506" s="5">
        <f t="shared" si="1"/>
        <v>1.5</v>
      </c>
      <c r="R506" s="6">
        <f t="shared" si="2"/>
        <v>46038</v>
      </c>
      <c r="S506" s="5">
        <f t="shared" si="3"/>
        <v>4999</v>
      </c>
      <c r="T506" s="5" t="str">
        <f t="shared" si="4"/>
        <v>Normal</v>
      </c>
    </row>
    <row r="507">
      <c r="A507" s="2" t="s">
        <v>624</v>
      </c>
      <c r="B507" s="2">
        <v>356.0</v>
      </c>
      <c r="C507" s="2">
        <v>25.0</v>
      </c>
      <c r="D507" s="4">
        <v>46051.291666666664</v>
      </c>
      <c r="E507" s="2">
        <v>2999.0</v>
      </c>
      <c r="F507" s="2" t="s">
        <v>14</v>
      </c>
      <c r="G507" s="2" t="s">
        <v>69</v>
      </c>
      <c r="H507" s="2">
        <v>96.0</v>
      </c>
      <c r="I507" s="5" t="str">
        <f>IFERROR(VLOOKUP($C507, merchants!$A$2:$D$41, 2, FALSE), "Merchant not found")</f>
        <v>Merchant_025</v>
      </c>
      <c r="J507" s="5" t="str">
        <f>IFERROR(VLOOKUP($C507, merchants!$A$2:$D$41, 3, FALSE), "Merchant not found")</f>
        <v>travel</v>
      </c>
      <c r="K507" s="5" t="str">
        <f>IFERROR(VLOOKUP($C507, merchants!$A$2:$D$41, 4, FALSE), "Merchant not found")</f>
        <v>South</v>
      </c>
      <c r="Q507" s="5">
        <f t="shared" si="1"/>
        <v>1.5</v>
      </c>
      <c r="R507" s="6">
        <f t="shared" si="2"/>
        <v>46051</v>
      </c>
      <c r="S507" s="5">
        <f t="shared" si="3"/>
        <v>3048</v>
      </c>
      <c r="T507" s="5" t="str">
        <f t="shared" si="4"/>
        <v>Normal</v>
      </c>
    </row>
    <row r="508">
      <c r="A508" s="2" t="s">
        <v>625</v>
      </c>
      <c r="B508" s="2">
        <v>357.0</v>
      </c>
      <c r="C508" s="2">
        <v>37.0</v>
      </c>
      <c r="D508" s="4">
        <v>46045.458333333336</v>
      </c>
      <c r="E508" s="2">
        <v>1999.0</v>
      </c>
      <c r="F508" s="2" t="s">
        <v>14</v>
      </c>
      <c r="G508" s="2" t="s">
        <v>69</v>
      </c>
      <c r="H508" s="2">
        <v>88.0</v>
      </c>
      <c r="I508" s="5" t="str">
        <f>IFERROR(VLOOKUP($C508, merchants!$A$2:$D$41, 2, FALSE), "Merchant not found")</f>
        <v>Merchant_037</v>
      </c>
      <c r="J508" s="5" t="str">
        <f>IFERROR(VLOOKUP($C508, merchants!$A$2:$D$41, 3, FALSE), "Merchant not found")</f>
        <v>entertainment</v>
      </c>
      <c r="K508" s="5" t="str">
        <f>IFERROR(VLOOKUP($C508, merchants!$A$2:$D$41, 4, FALSE), "Merchant not found")</f>
        <v>South</v>
      </c>
      <c r="Q508" s="5">
        <f t="shared" si="1"/>
        <v>1.5</v>
      </c>
      <c r="R508" s="6">
        <f t="shared" si="2"/>
        <v>46045</v>
      </c>
      <c r="S508" s="5">
        <f t="shared" si="3"/>
        <v>1999</v>
      </c>
      <c r="T508" s="5" t="str">
        <f t="shared" si="4"/>
        <v>Normal</v>
      </c>
    </row>
    <row r="509">
      <c r="A509" s="2" t="s">
        <v>626</v>
      </c>
      <c r="B509" s="2">
        <v>358.0</v>
      </c>
      <c r="C509" s="2">
        <v>36.0</v>
      </c>
      <c r="D509" s="4">
        <v>46050.208333333336</v>
      </c>
      <c r="E509" s="2">
        <v>999.0</v>
      </c>
      <c r="F509" s="2" t="s">
        <v>14</v>
      </c>
      <c r="G509" s="2" t="s">
        <v>69</v>
      </c>
      <c r="H509" s="2">
        <v>100.0</v>
      </c>
      <c r="I509" s="5" t="str">
        <f>IFERROR(VLOOKUP($C509, merchants!$A$2:$D$41, 2, FALSE), "Merchant not found")</f>
        <v>Merchant_036</v>
      </c>
      <c r="J509" s="5" t="str">
        <f>IFERROR(VLOOKUP($C509, merchants!$A$2:$D$41, 3, FALSE), "Merchant not found")</f>
        <v>entertainment</v>
      </c>
      <c r="K509" s="5" t="str">
        <f>IFERROR(VLOOKUP($C509, merchants!$A$2:$D$41, 4, FALSE), "Merchant not found")</f>
        <v>East</v>
      </c>
      <c r="Q509" s="5">
        <f t="shared" si="1"/>
        <v>1.5</v>
      </c>
      <c r="R509" s="6">
        <f t="shared" si="2"/>
        <v>46050</v>
      </c>
      <c r="S509" s="5">
        <f t="shared" si="3"/>
        <v>999</v>
      </c>
      <c r="T509" s="5" t="str">
        <f t="shared" si="4"/>
        <v>Normal</v>
      </c>
    </row>
    <row r="510">
      <c r="A510" s="2" t="s">
        <v>627</v>
      </c>
      <c r="B510" s="2">
        <v>359.0</v>
      </c>
      <c r="C510" s="2">
        <v>29.0</v>
      </c>
      <c r="D510" s="4">
        <v>46047.916666666664</v>
      </c>
      <c r="E510" s="2">
        <v>2999.0</v>
      </c>
      <c r="F510" s="2" t="s">
        <v>14</v>
      </c>
      <c r="G510" s="2" t="s">
        <v>69</v>
      </c>
      <c r="H510" s="2">
        <v>96.0</v>
      </c>
      <c r="I510" s="5" t="str">
        <f>IFERROR(VLOOKUP($C510, merchants!$A$2:$D$41, 2, FALSE), "Merchant not found")</f>
        <v>Merchant_029</v>
      </c>
      <c r="J510" s="5" t="str">
        <f>IFERROR(VLOOKUP($C510, merchants!$A$2:$D$41, 3, FALSE), "Merchant not found")</f>
        <v>ecommerce</v>
      </c>
      <c r="K510" s="5" t="str">
        <f>IFERROR(VLOOKUP($C510, merchants!$A$2:$D$41, 4, FALSE), "Merchant not found")</f>
        <v>North</v>
      </c>
      <c r="Q510" s="5">
        <f t="shared" si="1"/>
        <v>1.5</v>
      </c>
      <c r="R510" s="6">
        <f t="shared" si="2"/>
        <v>46047</v>
      </c>
      <c r="S510" s="5">
        <f t="shared" si="3"/>
        <v>3896</v>
      </c>
      <c r="T510" s="5" t="str">
        <f t="shared" si="4"/>
        <v>Normal</v>
      </c>
    </row>
    <row r="511">
      <c r="A511" s="2" t="s">
        <v>628</v>
      </c>
      <c r="B511" s="2">
        <v>360.0</v>
      </c>
      <c r="C511" s="2">
        <v>32.0</v>
      </c>
      <c r="D511" s="4">
        <v>46035.541666666664</v>
      </c>
      <c r="E511" s="2">
        <v>1999.0</v>
      </c>
      <c r="F511" s="2" t="s">
        <v>14</v>
      </c>
      <c r="G511" s="2" t="s">
        <v>69</v>
      </c>
      <c r="H511" s="2">
        <v>90.0</v>
      </c>
      <c r="I511" s="5" t="str">
        <f>IFERROR(VLOOKUP($C511, merchants!$A$2:$D$41, 2, FALSE), "Merchant not found")</f>
        <v>Merchant_032</v>
      </c>
      <c r="J511" s="5" t="str">
        <f>IFERROR(VLOOKUP($C511, merchants!$A$2:$D$41, 3, FALSE), "Merchant not found")</f>
        <v>food_delivery</v>
      </c>
      <c r="K511" s="5" t="str">
        <f>IFERROR(VLOOKUP($C511, merchants!$A$2:$D$41, 4, FALSE), "Merchant not found")</f>
        <v>West</v>
      </c>
      <c r="Q511" s="5">
        <f t="shared" si="1"/>
        <v>1.5</v>
      </c>
      <c r="R511" s="6">
        <f t="shared" si="2"/>
        <v>46035</v>
      </c>
      <c r="S511" s="5">
        <f t="shared" si="3"/>
        <v>1999</v>
      </c>
      <c r="T511" s="5" t="str">
        <f t="shared" si="4"/>
        <v>Normal</v>
      </c>
    </row>
    <row r="512">
      <c r="A512" s="2" t="s">
        <v>629</v>
      </c>
      <c r="B512" s="2">
        <v>361.0</v>
      </c>
      <c r="C512" s="2">
        <v>10.0</v>
      </c>
      <c r="D512" s="4">
        <v>46042.291666666664</v>
      </c>
      <c r="E512" s="2">
        <v>4999.0</v>
      </c>
      <c r="F512" s="2" t="s">
        <v>14</v>
      </c>
      <c r="G512" s="2" t="s">
        <v>69</v>
      </c>
      <c r="H512" s="2">
        <v>95.0</v>
      </c>
      <c r="I512" s="5" t="str">
        <f>IFERROR(VLOOKUP($C512, merchants!$A$2:$D$41, 2, FALSE), "Merchant not found")</f>
        <v>Merchant_010</v>
      </c>
      <c r="J512" s="5" t="str">
        <f>IFERROR(VLOOKUP($C512, merchants!$A$2:$D$41, 3, FALSE), "Merchant not found")</f>
        <v>grocery</v>
      </c>
      <c r="K512" s="5" t="str">
        <f>IFERROR(VLOOKUP($C512, merchants!$A$2:$D$41, 4, FALSE), "Merchant not found")</f>
        <v>West</v>
      </c>
      <c r="Q512" s="5">
        <f t="shared" si="1"/>
        <v>1.5</v>
      </c>
      <c r="R512" s="6">
        <f t="shared" si="2"/>
        <v>46042</v>
      </c>
      <c r="S512" s="5">
        <f t="shared" si="3"/>
        <v>4999</v>
      </c>
      <c r="T512" s="5" t="str">
        <f t="shared" si="4"/>
        <v>Normal</v>
      </c>
    </row>
    <row r="513">
      <c r="A513" s="2" t="s">
        <v>630</v>
      </c>
      <c r="B513" s="2">
        <v>362.0</v>
      </c>
      <c r="C513" s="2">
        <v>39.0</v>
      </c>
      <c r="D513" s="4">
        <v>46045.083333333336</v>
      </c>
      <c r="E513" s="2">
        <v>4999.0</v>
      </c>
      <c r="F513" s="2" t="s">
        <v>14</v>
      </c>
      <c r="G513" s="2" t="s">
        <v>69</v>
      </c>
      <c r="H513" s="2">
        <v>88.0</v>
      </c>
      <c r="I513" s="5" t="str">
        <f>IFERROR(VLOOKUP($C513, merchants!$A$2:$D$41, 2, FALSE), "Merchant not found")</f>
        <v>Merchant_039</v>
      </c>
      <c r="J513" s="5" t="str">
        <f>IFERROR(VLOOKUP($C513, merchants!$A$2:$D$41, 3, FALSE), "Merchant not found")</f>
        <v>entertainment</v>
      </c>
      <c r="K513" s="5" t="str">
        <f>IFERROR(VLOOKUP($C513, merchants!$A$2:$D$41, 4, FALSE), "Merchant not found")</f>
        <v>North</v>
      </c>
      <c r="Q513" s="5">
        <f t="shared" si="1"/>
        <v>1.5</v>
      </c>
      <c r="R513" s="6">
        <f t="shared" si="2"/>
        <v>46045</v>
      </c>
      <c r="S513" s="5">
        <f t="shared" si="3"/>
        <v>4999</v>
      </c>
      <c r="T513" s="5" t="str">
        <f t="shared" si="4"/>
        <v>Normal</v>
      </c>
    </row>
    <row r="514">
      <c r="A514" s="2" t="s">
        <v>631</v>
      </c>
      <c r="B514" s="2">
        <v>363.0</v>
      </c>
      <c r="C514" s="2">
        <v>27.0</v>
      </c>
      <c r="D514" s="4">
        <v>46045.708333333336</v>
      </c>
      <c r="E514" s="2">
        <v>999.0</v>
      </c>
      <c r="F514" s="2" t="s">
        <v>14</v>
      </c>
      <c r="G514" s="2" t="s">
        <v>69</v>
      </c>
      <c r="H514" s="2">
        <v>95.0</v>
      </c>
      <c r="I514" s="5" t="str">
        <f>IFERROR(VLOOKUP($C514, merchants!$A$2:$D$41, 2, FALSE), "Merchant not found")</f>
        <v>Merchant_027</v>
      </c>
      <c r="J514" s="5" t="str">
        <f>IFERROR(VLOOKUP($C514, merchants!$A$2:$D$41, 3, FALSE), "Merchant not found")</f>
        <v>ecommerce</v>
      </c>
      <c r="K514" s="5" t="str">
        <f>IFERROR(VLOOKUP($C514, merchants!$A$2:$D$41, 4, FALSE), "Merchant not found")</f>
        <v>North</v>
      </c>
      <c r="Q514" s="5">
        <f t="shared" si="1"/>
        <v>1.5</v>
      </c>
      <c r="R514" s="6">
        <f t="shared" si="2"/>
        <v>46045</v>
      </c>
      <c r="S514" s="5">
        <f t="shared" si="3"/>
        <v>3998</v>
      </c>
      <c r="T514" s="5" t="str">
        <f t="shared" si="4"/>
        <v>Normal</v>
      </c>
    </row>
    <row r="515">
      <c r="A515" s="2" t="s">
        <v>632</v>
      </c>
      <c r="B515" s="2">
        <v>364.0</v>
      </c>
      <c r="C515" s="2">
        <v>39.0</v>
      </c>
      <c r="D515" s="4">
        <v>46044.916666666664</v>
      </c>
      <c r="E515" s="2">
        <v>999.0</v>
      </c>
      <c r="F515" s="2" t="s">
        <v>14</v>
      </c>
      <c r="G515" s="2" t="s">
        <v>69</v>
      </c>
      <c r="H515" s="2">
        <v>73.0</v>
      </c>
      <c r="I515" s="5" t="str">
        <f>IFERROR(VLOOKUP($C515, merchants!$A$2:$D$41, 2, FALSE), "Merchant not found")</f>
        <v>Merchant_039</v>
      </c>
      <c r="J515" s="5" t="str">
        <f>IFERROR(VLOOKUP($C515, merchants!$A$2:$D$41, 3, FALSE), "Merchant not found")</f>
        <v>entertainment</v>
      </c>
      <c r="K515" s="5" t="str">
        <f>IFERROR(VLOOKUP($C515, merchants!$A$2:$D$41, 4, FALSE), "Merchant not found")</f>
        <v>North</v>
      </c>
      <c r="Q515" s="5">
        <f t="shared" si="1"/>
        <v>1.5</v>
      </c>
      <c r="R515" s="6">
        <f t="shared" si="2"/>
        <v>46044</v>
      </c>
      <c r="S515" s="5">
        <f t="shared" si="3"/>
        <v>9796</v>
      </c>
      <c r="T515" s="5" t="str">
        <f t="shared" si="4"/>
        <v>High-Value Merchant Day</v>
      </c>
    </row>
    <row r="516">
      <c r="A516" s="2" t="s">
        <v>633</v>
      </c>
      <c r="B516" s="2">
        <v>365.0</v>
      </c>
      <c r="C516" s="2">
        <v>23.0</v>
      </c>
      <c r="D516" s="4">
        <v>46040.875</v>
      </c>
      <c r="E516" s="2">
        <v>1999.0</v>
      </c>
      <c r="F516" s="2" t="s">
        <v>14</v>
      </c>
      <c r="G516" s="2" t="s">
        <v>69</v>
      </c>
      <c r="H516" s="2">
        <v>90.0</v>
      </c>
      <c r="I516" s="5" t="str">
        <f>IFERROR(VLOOKUP($C516, merchants!$A$2:$D$41, 2, FALSE), "Merchant not found")</f>
        <v>Merchant_023</v>
      </c>
      <c r="J516" s="5" t="str">
        <f>IFERROR(VLOOKUP($C516, merchants!$A$2:$D$41, 3, FALSE), "Merchant not found")</f>
        <v>travel</v>
      </c>
      <c r="K516" s="5" t="str">
        <f>IFERROR(VLOOKUP($C516, merchants!$A$2:$D$41, 4, FALSE), "Merchant not found")</f>
        <v>North</v>
      </c>
      <c r="Q516" s="5">
        <f t="shared" si="1"/>
        <v>1.5</v>
      </c>
      <c r="R516" s="6">
        <f t="shared" si="2"/>
        <v>46040</v>
      </c>
      <c r="S516" s="5">
        <f t="shared" si="3"/>
        <v>1999</v>
      </c>
      <c r="T516" s="5" t="str">
        <f t="shared" si="4"/>
        <v>Normal</v>
      </c>
    </row>
    <row r="517">
      <c r="A517" s="2" t="s">
        <v>634</v>
      </c>
      <c r="B517" s="2">
        <v>314.0</v>
      </c>
      <c r="C517" s="2">
        <v>26.0</v>
      </c>
      <c r="D517" s="4">
        <v>46024.75</v>
      </c>
      <c r="E517" s="2">
        <v>399.0</v>
      </c>
      <c r="F517" s="2" t="s">
        <v>14</v>
      </c>
      <c r="G517" s="2" t="s">
        <v>61</v>
      </c>
      <c r="H517" s="2">
        <v>87.0</v>
      </c>
      <c r="I517" s="5" t="str">
        <f>IFERROR(VLOOKUP($C517, merchants!$A$2:$D$41, 2, FALSE), "Merchant not found")</f>
        <v>Merchant_026</v>
      </c>
      <c r="J517" s="5" t="str">
        <f>IFERROR(VLOOKUP($C517, merchants!$A$2:$D$41, 3, FALSE), "Merchant not found")</f>
        <v>food_delivery</v>
      </c>
      <c r="K517" s="5" t="str">
        <f>IFERROR(VLOOKUP($C517, merchants!$A$2:$D$41, 4, FALSE), "Merchant not found")</f>
        <v>East</v>
      </c>
      <c r="Q517" s="5">
        <f t="shared" si="1"/>
        <v>1.5</v>
      </c>
      <c r="R517" s="6">
        <f t="shared" si="2"/>
        <v>46024</v>
      </c>
      <c r="S517" s="5">
        <f t="shared" si="3"/>
        <v>399</v>
      </c>
      <c r="T517" s="5" t="str">
        <f t="shared" si="4"/>
        <v>Normal</v>
      </c>
    </row>
    <row r="518">
      <c r="A518" s="2" t="s">
        <v>635</v>
      </c>
      <c r="B518" s="2">
        <v>314.0</v>
      </c>
      <c r="C518" s="2">
        <v>7.0</v>
      </c>
      <c r="D518" s="4">
        <v>46024.75069444445</v>
      </c>
      <c r="E518" s="2">
        <v>299.0</v>
      </c>
      <c r="F518" s="2" t="s">
        <v>14</v>
      </c>
      <c r="G518" s="2" t="s">
        <v>61</v>
      </c>
      <c r="H518" s="2">
        <v>66.0</v>
      </c>
      <c r="I518" s="5" t="str">
        <f>IFERROR(VLOOKUP($C518, merchants!$A$2:$D$41, 2, FALSE), "Merchant not found")</f>
        <v>Merchant_007</v>
      </c>
      <c r="J518" s="5" t="str">
        <f>IFERROR(VLOOKUP($C518, merchants!$A$2:$D$41, 3, FALSE), "Merchant not found")</f>
        <v>food_delivery</v>
      </c>
      <c r="K518" s="5" t="str">
        <f>IFERROR(VLOOKUP($C518, merchants!$A$2:$D$41, 4, FALSE), "Merchant not found")</f>
        <v>East</v>
      </c>
      <c r="Q518" s="5">
        <f t="shared" si="1"/>
        <v>1.5</v>
      </c>
      <c r="R518" s="6">
        <f t="shared" si="2"/>
        <v>46024</v>
      </c>
      <c r="S518" s="5">
        <f t="shared" si="3"/>
        <v>3797</v>
      </c>
      <c r="T518" s="5" t="str">
        <f t="shared" si="4"/>
        <v>Normal</v>
      </c>
    </row>
    <row r="519">
      <c r="A519" s="2" t="s">
        <v>636</v>
      </c>
      <c r="B519" s="2">
        <v>314.0</v>
      </c>
      <c r="C519" s="2">
        <v>17.0</v>
      </c>
      <c r="D519" s="4">
        <v>46024.751388888886</v>
      </c>
      <c r="E519" s="2">
        <v>299.0</v>
      </c>
      <c r="F519" s="2" t="s">
        <v>14</v>
      </c>
      <c r="G519" s="2" t="s">
        <v>61</v>
      </c>
      <c r="H519" s="2">
        <v>92.0</v>
      </c>
      <c r="I519" s="5" t="str">
        <f>IFERROR(VLOOKUP($C519, merchants!$A$2:$D$41, 2, FALSE), "Merchant not found")</f>
        <v>Merchant_017</v>
      </c>
      <c r="J519" s="5" t="str">
        <f>IFERROR(VLOOKUP($C519, merchants!$A$2:$D$41, 3, FALSE), "Merchant not found")</f>
        <v>grocery</v>
      </c>
      <c r="K519" s="5" t="str">
        <f>IFERROR(VLOOKUP($C519, merchants!$A$2:$D$41, 4, FALSE), "Merchant not found")</f>
        <v>North</v>
      </c>
      <c r="Q519" s="5">
        <f t="shared" si="1"/>
        <v>1.5</v>
      </c>
      <c r="R519" s="6">
        <f t="shared" si="2"/>
        <v>46024</v>
      </c>
      <c r="S519" s="5">
        <f t="shared" si="3"/>
        <v>299</v>
      </c>
      <c r="T519" s="5" t="str">
        <f t="shared" si="4"/>
        <v>Normal</v>
      </c>
    </row>
    <row r="520">
      <c r="A520" s="2" t="s">
        <v>637</v>
      </c>
      <c r="B520" s="2">
        <v>314.0</v>
      </c>
      <c r="C520" s="2">
        <v>34.0</v>
      </c>
      <c r="D520" s="4">
        <v>46024.75208333333</v>
      </c>
      <c r="E520" s="2">
        <v>499.0</v>
      </c>
      <c r="F520" s="2" t="s">
        <v>14</v>
      </c>
      <c r="G520" s="2" t="s">
        <v>23</v>
      </c>
      <c r="H520" s="2">
        <v>74.0</v>
      </c>
      <c r="I520" s="5" t="str">
        <f>IFERROR(VLOOKUP($C520, merchants!$A$2:$D$41, 2, FALSE), "Merchant not found")</f>
        <v>Merchant_034</v>
      </c>
      <c r="J520" s="5" t="str">
        <f>IFERROR(VLOOKUP($C520, merchants!$A$2:$D$41, 3, FALSE), "Merchant not found")</f>
        <v>travel</v>
      </c>
      <c r="K520" s="5" t="str">
        <f>IFERROR(VLOOKUP($C520, merchants!$A$2:$D$41, 4, FALSE), "Merchant not found")</f>
        <v>South</v>
      </c>
      <c r="Q520" s="5">
        <f t="shared" si="1"/>
        <v>1.5</v>
      </c>
      <c r="R520" s="6">
        <f t="shared" si="2"/>
        <v>46024</v>
      </c>
      <c r="S520" s="5">
        <f t="shared" si="3"/>
        <v>548</v>
      </c>
      <c r="T520" s="5" t="str">
        <f t="shared" si="4"/>
        <v>Normal</v>
      </c>
    </row>
    <row r="521">
      <c r="A521" s="2" t="s">
        <v>638</v>
      </c>
      <c r="B521" s="2">
        <v>229.0</v>
      </c>
      <c r="C521" s="2">
        <v>30.0</v>
      </c>
      <c r="D521" s="4">
        <v>46034.5</v>
      </c>
      <c r="E521" s="2">
        <v>499.0</v>
      </c>
      <c r="F521" s="2" t="s">
        <v>14</v>
      </c>
      <c r="G521" s="2" t="s">
        <v>61</v>
      </c>
      <c r="H521" s="2">
        <v>92.0</v>
      </c>
      <c r="I521" s="5" t="str">
        <f>IFERROR(VLOOKUP($C521, merchants!$A$2:$D$41, 2, FALSE), "Merchant not found")</f>
        <v>Merchant_030</v>
      </c>
      <c r="J521" s="5" t="str">
        <f>IFERROR(VLOOKUP($C521, merchants!$A$2:$D$41, 3, FALSE), "Merchant not found")</f>
        <v>travel</v>
      </c>
      <c r="K521" s="5" t="str">
        <f>IFERROR(VLOOKUP($C521, merchants!$A$2:$D$41, 4, FALSE), "Merchant not found")</f>
        <v>West</v>
      </c>
      <c r="Q521" s="5">
        <f t="shared" si="1"/>
        <v>1.5</v>
      </c>
      <c r="R521" s="6">
        <f t="shared" si="2"/>
        <v>46034</v>
      </c>
      <c r="S521" s="5">
        <f t="shared" si="3"/>
        <v>499</v>
      </c>
      <c r="T521" s="5" t="str">
        <f t="shared" si="4"/>
        <v>Normal</v>
      </c>
    </row>
    <row r="522">
      <c r="A522" s="2" t="s">
        <v>639</v>
      </c>
      <c r="B522" s="2">
        <v>229.0</v>
      </c>
      <c r="C522" s="2">
        <v>10.0</v>
      </c>
      <c r="D522" s="4">
        <v>46034.50069444445</v>
      </c>
      <c r="E522" s="2">
        <v>399.0</v>
      </c>
      <c r="F522" s="2" t="s">
        <v>14</v>
      </c>
      <c r="G522" s="2" t="s">
        <v>61</v>
      </c>
      <c r="H522" s="2">
        <v>61.0</v>
      </c>
      <c r="I522" s="5" t="str">
        <f>IFERROR(VLOOKUP($C522, merchants!$A$2:$D$41, 2, FALSE), "Merchant not found")</f>
        <v>Merchant_010</v>
      </c>
      <c r="J522" s="5" t="str">
        <f>IFERROR(VLOOKUP($C522, merchants!$A$2:$D$41, 3, FALSE), "Merchant not found")</f>
        <v>grocery</v>
      </c>
      <c r="K522" s="5" t="str">
        <f>IFERROR(VLOOKUP($C522, merchants!$A$2:$D$41, 4, FALSE), "Merchant not found")</f>
        <v>West</v>
      </c>
      <c r="Q522" s="5">
        <f t="shared" si="1"/>
        <v>1.5</v>
      </c>
      <c r="R522" s="6">
        <f t="shared" si="2"/>
        <v>46034</v>
      </c>
      <c r="S522" s="5">
        <f t="shared" si="3"/>
        <v>399</v>
      </c>
      <c r="T522" s="5" t="str">
        <f t="shared" si="4"/>
        <v>Normal</v>
      </c>
    </row>
    <row r="523">
      <c r="A523" s="2" t="s">
        <v>640</v>
      </c>
      <c r="B523" s="2">
        <v>229.0</v>
      </c>
      <c r="C523" s="2">
        <v>31.0</v>
      </c>
      <c r="D523" s="4">
        <v>46034.501388888886</v>
      </c>
      <c r="E523" s="2">
        <v>299.0</v>
      </c>
      <c r="F523" s="2" t="s">
        <v>14</v>
      </c>
      <c r="G523" s="2" t="s">
        <v>61</v>
      </c>
      <c r="H523" s="2">
        <v>78.0</v>
      </c>
      <c r="I523" s="5" t="str">
        <f>IFERROR(VLOOKUP($C523, merchants!$A$2:$D$41, 2, FALSE), "Merchant not found")</f>
        <v>Merchant_031</v>
      </c>
      <c r="J523" s="5" t="str">
        <f>IFERROR(VLOOKUP($C523, merchants!$A$2:$D$41, 3, FALSE), "Merchant not found")</f>
        <v>bill_payment</v>
      </c>
      <c r="K523" s="5" t="str">
        <f>IFERROR(VLOOKUP($C523, merchants!$A$2:$D$41, 4, FALSE), "Merchant not found")</f>
        <v>East</v>
      </c>
      <c r="Q523" s="5">
        <f t="shared" si="1"/>
        <v>1.5</v>
      </c>
      <c r="R523" s="6">
        <f t="shared" si="2"/>
        <v>46034</v>
      </c>
      <c r="S523" s="5">
        <f t="shared" si="3"/>
        <v>598</v>
      </c>
      <c r="T523" s="5" t="str">
        <f t="shared" si="4"/>
        <v>Normal</v>
      </c>
    </row>
    <row r="524">
      <c r="A524" s="2" t="s">
        <v>641</v>
      </c>
      <c r="B524" s="2">
        <v>229.0</v>
      </c>
      <c r="C524" s="2">
        <v>27.0</v>
      </c>
      <c r="D524" s="4">
        <v>46034.50208333333</v>
      </c>
      <c r="E524" s="2">
        <v>299.0</v>
      </c>
      <c r="F524" s="2" t="s">
        <v>14</v>
      </c>
      <c r="G524" s="2" t="s">
        <v>23</v>
      </c>
      <c r="H524" s="2">
        <v>67.0</v>
      </c>
      <c r="I524" s="5" t="str">
        <f>IFERROR(VLOOKUP($C524, merchants!$A$2:$D$41, 2, FALSE), "Merchant not found")</f>
        <v>Merchant_027</v>
      </c>
      <c r="J524" s="5" t="str">
        <f>IFERROR(VLOOKUP($C524, merchants!$A$2:$D$41, 3, FALSE), "Merchant not found")</f>
        <v>ecommerce</v>
      </c>
      <c r="K524" s="5" t="str">
        <f>IFERROR(VLOOKUP($C524, merchants!$A$2:$D$41, 4, FALSE), "Merchant not found")</f>
        <v>North</v>
      </c>
      <c r="Q524" s="5">
        <f t="shared" si="1"/>
        <v>1.5</v>
      </c>
      <c r="R524" s="6">
        <f t="shared" si="2"/>
        <v>46034</v>
      </c>
      <c r="S524" s="5">
        <f t="shared" si="3"/>
        <v>299</v>
      </c>
      <c r="T524" s="5" t="str">
        <f t="shared" si="4"/>
        <v>Normal</v>
      </c>
    </row>
    <row r="525">
      <c r="A525" s="2" t="s">
        <v>642</v>
      </c>
      <c r="B525" s="2">
        <v>73.0</v>
      </c>
      <c r="C525" s="2">
        <v>22.0</v>
      </c>
      <c r="D525" s="4">
        <v>46034.375</v>
      </c>
      <c r="E525" s="2">
        <v>399.0</v>
      </c>
      <c r="F525" s="2" t="s">
        <v>14</v>
      </c>
      <c r="G525" s="2" t="s">
        <v>61</v>
      </c>
      <c r="H525" s="2">
        <v>73.0</v>
      </c>
      <c r="I525" s="5" t="str">
        <f>IFERROR(VLOOKUP($C525, merchants!$A$2:$D$41, 2, FALSE), "Merchant not found")</f>
        <v>Merchant_022</v>
      </c>
      <c r="J525" s="5" t="str">
        <f>IFERROR(VLOOKUP($C525, merchants!$A$2:$D$41, 3, FALSE), "Merchant not found")</f>
        <v>travel</v>
      </c>
      <c r="K525" s="5" t="str">
        <f>IFERROR(VLOOKUP($C525, merchants!$A$2:$D$41, 4, FALSE), "Merchant not found")</f>
        <v>South</v>
      </c>
      <c r="Q525" s="5">
        <f t="shared" si="1"/>
        <v>1.5</v>
      </c>
      <c r="R525" s="6">
        <f t="shared" si="2"/>
        <v>46034</v>
      </c>
      <c r="S525" s="5">
        <f t="shared" si="3"/>
        <v>1697</v>
      </c>
      <c r="T525" s="5" t="str">
        <f t="shared" si="4"/>
        <v>Normal</v>
      </c>
    </row>
    <row r="526">
      <c r="A526" s="2" t="s">
        <v>643</v>
      </c>
      <c r="B526" s="2">
        <v>73.0</v>
      </c>
      <c r="C526" s="2">
        <v>34.0</v>
      </c>
      <c r="D526" s="4">
        <v>46034.37569444445</v>
      </c>
      <c r="E526" s="2">
        <v>399.0</v>
      </c>
      <c r="F526" s="2" t="s">
        <v>14</v>
      </c>
      <c r="G526" s="2" t="s">
        <v>61</v>
      </c>
      <c r="H526" s="2">
        <v>82.0</v>
      </c>
      <c r="I526" s="5" t="str">
        <f>IFERROR(VLOOKUP($C526, merchants!$A$2:$D$41, 2, FALSE), "Merchant not found")</f>
        <v>Merchant_034</v>
      </c>
      <c r="J526" s="5" t="str">
        <f>IFERROR(VLOOKUP($C526, merchants!$A$2:$D$41, 3, FALSE), "Merchant not found")</f>
        <v>travel</v>
      </c>
      <c r="K526" s="5" t="str">
        <f>IFERROR(VLOOKUP($C526, merchants!$A$2:$D$41, 4, FALSE), "Merchant not found")</f>
        <v>South</v>
      </c>
      <c r="Q526" s="5">
        <f t="shared" si="1"/>
        <v>1.5</v>
      </c>
      <c r="R526" s="6">
        <f t="shared" si="2"/>
        <v>46034</v>
      </c>
      <c r="S526" s="5">
        <f t="shared" si="3"/>
        <v>399</v>
      </c>
      <c r="T526" s="5" t="str">
        <f t="shared" si="4"/>
        <v>Normal</v>
      </c>
    </row>
    <row r="527">
      <c r="A527" s="2" t="s">
        <v>644</v>
      </c>
      <c r="B527" s="2">
        <v>73.0</v>
      </c>
      <c r="C527" s="2">
        <v>31.0</v>
      </c>
      <c r="D527" s="4">
        <v>46034.376388888886</v>
      </c>
      <c r="E527" s="2">
        <v>299.0</v>
      </c>
      <c r="F527" s="2" t="s">
        <v>14</v>
      </c>
      <c r="G527" s="2" t="s">
        <v>61</v>
      </c>
      <c r="H527" s="2">
        <v>88.0</v>
      </c>
      <c r="I527" s="5" t="str">
        <f>IFERROR(VLOOKUP($C527, merchants!$A$2:$D$41, 2, FALSE), "Merchant not found")</f>
        <v>Merchant_031</v>
      </c>
      <c r="J527" s="5" t="str">
        <f>IFERROR(VLOOKUP($C527, merchants!$A$2:$D$41, 3, FALSE), "Merchant not found")</f>
        <v>bill_payment</v>
      </c>
      <c r="K527" s="5" t="str">
        <f>IFERROR(VLOOKUP($C527, merchants!$A$2:$D$41, 4, FALSE), "Merchant not found")</f>
        <v>East</v>
      </c>
      <c r="Q527" s="5">
        <f t="shared" si="1"/>
        <v>1.5</v>
      </c>
      <c r="R527" s="6">
        <f t="shared" si="2"/>
        <v>46034</v>
      </c>
      <c r="S527" s="5">
        <f t="shared" si="3"/>
        <v>598</v>
      </c>
      <c r="T527" s="5" t="str">
        <f t="shared" si="4"/>
        <v>Normal</v>
      </c>
    </row>
    <row r="528">
      <c r="A528" s="2" t="s">
        <v>645</v>
      </c>
      <c r="B528" s="2">
        <v>73.0</v>
      </c>
      <c r="C528" s="2">
        <v>29.0</v>
      </c>
      <c r="D528" s="4">
        <v>46034.37708333333</v>
      </c>
      <c r="E528" s="2">
        <v>399.0</v>
      </c>
      <c r="F528" s="2" t="s">
        <v>14</v>
      </c>
      <c r="G528" s="2" t="s">
        <v>23</v>
      </c>
      <c r="H528" s="2">
        <v>64.0</v>
      </c>
      <c r="I528" s="5" t="str">
        <f>IFERROR(VLOOKUP($C528, merchants!$A$2:$D$41, 2, FALSE), "Merchant not found")</f>
        <v>Merchant_029</v>
      </c>
      <c r="J528" s="5" t="str">
        <f>IFERROR(VLOOKUP($C528, merchants!$A$2:$D$41, 3, FALSE), "Merchant not found")</f>
        <v>ecommerce</v>
      </c>
      <c r="K528" s="5" t="str">
        <f>IFERROR(VLOOKUP($C528, merchants!$A$2:$D$41, 4, FALSE), "Merchant not found")</f>
        <v>North</v>
      </c>
      <c r="Q528" s="5">
        <f t="shared" si="1"/>
        <v>1.5</v>
      </c>
      <c r="R528" s="6">
        <f t="shared" si="2"/>
        <v>46034</v>
      </c>
      <c r="S528" s="5">
        <f t="shared" si="3"/>
        <v>399</v>
      </c>
      <c r="T528" s="5" t="str">
        <f t="shared" si="4"/>
        <v>Normal</v>
      </c>
    </row>
    <row r="529">
      <c r="A529" s="2" t="s">
        <v>646</v>
      </c>
      <c r="B529" s="2">
        <v>154.0</v>
      </c>
      <c r="C529" s="2">
        <v>8.0</v>
      </c>
      <c r="D529" s="4">
        <v>46024.916666666664</v>
      </c>
      <c r="E529" s="2">
        <v>299.0</v>
      </c>
      <c r="F529" s="2" t="s">
        <v>14</v>
      </c>
      <c r="G529" s="2" t="s">
        <v>61</v>
      </c>
      <c r="H529" s="2">
        <v>81.0</v>
      </c>
      <c r="I529" s="5" t="str">
        <f>IFERROR(VLOOKUP($C529, merchants!$A$2:$D$41, 2, FALSE), "Merchant not found")</f>
        <v>Merchant_008</v>
      </c>
      <c r="J529" s="5" t="str">
        <f>IFERROR(VLOOKUP($C529, merchants!$A$2:$D$41, 3, FALSE), "Merchant not found")</f>
        <v>food_delivery</v>
      </c>
      <c r="K529" s="5" t="str">
        <f>IFERROR(VLOOKUP($C529, merchants!$A$2:$D$41, 4, FALSE), "Merchant not found")</f>
        <v>North</v>
      </c>
      <c r="Q529" s="5">
        <f t="shared" si="1"/>
        <v>1.5</v>
      </c>
      <c r="R529" s="6">
        <f t="shared" si="2"/>
        <v>46024</v>
      </c>
      <c r="S529" s="5">
        <f t="shared" si="3"/>
        <v>299</v>
      </c>
      <c r="T529" s="5" t="str">
        <f t="shared" si="4"/>
        <v>Normal</v>
      </c>
    </row>
    <row r="530">
      <c r="A530" s="2" t="s">
        <v>647</v>
      </c>
      <c r="B530" s="2">
        <v>154.0</v>
      </c>
      <c r="C530" s="2">
        <v>7.0</v>
      </c>
      <c r="D530" s="4">
        <v>46024.91736111111</v>
      </c>
      <c r="E530" s="2">
        <v>499.0</v>
      </c>
      <c r="F530" s="2" t="s">
        <v>14</v>
      </c>
      <c r="G530" s="2" t="s">
        <v>61</v>
      </c>
      <c r="H530" s="2">
        <v>70.0</v>
      </c>
      <c r="I530" s="5" t="str">
        <f>IFERROR(VLOOKUP($C530, merchants!$A$2:$D$41, 2, FALSE), "Merchant not found")</f>
        <v>Merchant_007</v>
      </c>
      <c r="J530" s="5" t="str">
        <f>IFERROR(VLOOKUP($C530, merchants!$A$2:$D$41, 3, FALSE), "Merchant not found")</f>
        <v>food_delivery</v>
      </c>
      <c r="K530" s="5" t="str">
        <f>IFERROR(VLOOKUP($C530, merchants!$A$2:$D$41, 4, FALSE), "Merchant not found")</f>
        <v>East</v>
      </c>
      <c r="Q530" s="5">
        <f t="shared" si="1"/>
        <v>1.5</v>
      </c>
      <c r="R530" s="6">
        <f t="shared" si="2"/>
        <v>46024</v>
      </c>
      <c r="S530" s="5">
        <f t="shared" si="3"/>
        <v>3797</v>
      </c>
      <c r="T530" s="5" t="str">
        <f t="shared" si="4"/>
        <v>Normal</v>
      </c>
    </row>
    <row r="531">
      <c r="A531" s="2" t="s">
        <v>648</v>
      </c>
      <c r="B531" s="2">
        <v>154.0</v>
      </c>
      <c r="C531" s="2">
        <v>16.0</v>
      </c>
      <c r="D531" s="4">
        <v>46024.91805555556</v>
      </c>
      <c r="E531" s="2">
        <v>499.0</v>
      </c>
      <c r="F531" s="2" t="s">
        <v>14</v>
      </c>
      <c r="G531" s="2" t="s">
        <v>61</v>
      </c>
      <c r="H531" s="2">
        <v>71.0</v>
      </c>
      <c r="I531" s="5" t="str">
        <f>IFERROR(VLOOKUP($C531, merchants!$A$2:$D$41, 2, FALSE), "Merchant not found")</f>
        <v>Merchant_016</v>
      </c>
      <c r="J531" s="5" t="str">
        <f>IFERROR(VLOOKUP($C531, merchants!$A$2:$D$41, 3, FALSE), "Merchant not found")</f>
        <v>bill_payment</v>
      </c>
      <c r="K531" s="5" t="str">
        <f>IFERROR(VLOOKUP($C531, merchants!$A$2:$D$41, 4, FALSE), "Merchant not found")</f>
        <v>West</v>
      </c>
      <c r="Q531" s="5">
        <f t="shared" si="1"/>
        <v>1.5</v>
      </c>
      <c r="R531" s="6">
        <f t="shared" si="2"/>
        <v>46024</v>
      </c>
      <c r="S531" s="5">
        <f t="shared" si="3"/>
        <v>499</v>
      </c>
      <c r="T531" s="5" t="str">
        <f t="shared" si="4"/>
        <v>Normal</v>
      </c>
    </row>
    <row r="532">
      <c r="A532" s="2" t="s">
        <v>649</v>
      </c>
      <c r="B532" s="2">
        <v>154.0</v>
      </c>
      <c r="C532" s="2">
        <v>36.0</v>
      </c>
      <c r="D532" s="4">
        <v>46024.91875</v>
      </c>
      <c r="E532" s="2">
        <v>299.0</v>
      </c>
      <c r="F532" s="2" t="s">
        <v>14</v>
      </c>
      <c r="G532" s="2" t="s">
        <v>23</v>
      </c>
      <c r="H532" s="2">
        <v>81.0</v>
      </c>
      <c r="I532" s="5" t="str">
        <f>IFERROR(VLOOKUP($C532, merchants!$A$2:$D$41, 2, FALSE), "Merchant not found")</f>
        <v>Merchant_036</v>
      </c>
      <c r="J532" s="5" t="str">
        <f>IFERROR(VLOOKUP($C532, merchants!$A$2:$D$41, 3, FALSE), "Merchant not found")</f>
        <v>entertainment</v>
      </c>
      <c r="K532" s="5" t="str">
        <f>IFERROR(VLOOKUP($C532, merchants!$A$2:$D$41, 4, FALSE), "Merchant not found")</f>
        <v>East</v>
      </c>
      <c r="Q532" s="5">
        <f t="shared" si="1"/>
        <v>1.5</v>
      </c>
      <c r="R532" s="6">
        <f t="shared" si="2"/>
        <v>46024</v>
      </c>
      <c r="S532" s="5">
        <f t="shared" si="3"/>
        <v>299</v>
      </c>
      <c r="T532" s="5" t="str">
        <f t="shared" si="4"/>
        <v>Normal</v>
      </c>
    </row>
    <row r="533">
      <c r="A533" s="2" t="s">
        <v>650</v>
      </c>
      <c r="B533" s="2">
        <v>287.0</v>
      </c>
      <c r="C533" s="2">
        <v>15.0</v>
      </c>
      <c r="D533" s="4">
        <v>46036.583333333336</v>
      </c>
      <c r="E533" s="2">
        <v>399.0</v>
      </c>
      <c r="F533" s="2" t="s">
        <v>14</v>
      </c>
      <c r="G533" s="2" t="s">
        <v>61</v>
      </c>
      <c r="H533" s="2">
        <v>71.0</v>
      </c>
      <c r="I533" s="5" t="str">
        <f>IFERROR(VLOOKUP($C533, merchants!$A$2:$D$41, 2, FALSE), "Merchant not found")</f>
        <v>Merchant_015</v>
      </c>
      <c r="J533" s="5" t="str">
        <f>IFERROR(VLOOKUP($C533, merchants!$A$2:$D$41, 3, FALSE), "Merchant not found")</f>
        <v>travel</v>
      </c>
      <c r="K533" s="5" t="str">
        <f>IFERROR(VLOOKUP($C533, merchants!$A$2:$D$41, 4, FALSE), "Merchant not found")</f>
        <v>North</v>
      </c>
      <c r="Q533" s="5">
        <f t="shared" si="1"/>
        <v>1.5</v>
      </c>
      <c r="R533" s="6">
        <f t="shared" si="2"/>
        <v>46036</v>
      </c>
      <c r="S533" s="5">
        <f t="shared" si="3"/>
        <v>399</v>
      </c>
      <c r="T533" s="5" t="str">
        <f t="shared" si="4"/>
        <v>Normal</v>
      </c>
    </row>
    <row r="534">
      <c r="A534" s="2" t="s">
        <v>651</v>
      </c>
      <c r="B534" s="2">
        <v>287.0</v>
      </c>
      <c r="C534" s="2">
        <v>12.0</v>
      </c>
      <c r="D534" s="4">
        <v>46036.584027777775</v>
      </c>
      <c r="E534" s="2">
        <v>499.0</v>
      </c>
      <c r="F534" s="2" t="s">
        <v>14</v>
      </c>
      <c r="G534" s="2" t="s">
        <v>61</v>
      </c>
      <c r="H534" s="2">
        <v>87.0</v>
      </c>
      <c r="I534" s="5" t="str">
        <f>IFERROR(VLOOKUP($C534, merchants!$A$2:$D$41, 2, FALSE), "Merchant not found")</f>
        <v>Merchant_012</v>
      </c>
      <c r="J534" s="5" t="str">
        <f>IFERROR(VLOOKUP($C534, merchants!$A$2:$D$41, 3, FALSE), "Merchant not found")</f>
        <v>ecommerce</v>
      </c>
      <c r="K534" s="5" t="str">
        <f>IFERROR(VLOOKUP($C534, merchants!$A$2:$D$41, 4, FALSE), "Merchant not found")</f>
        <v>East</v>
      </c>
      <c r="Q534" s="5">
        <f t="shared" si="1"/>
        <v>1.5</v>
      </c>
      <c r="R534" s="6">
        <f t="shared" si="2"/>
        <v>46036</v>
      </c>
      <c r="S534" s="5">
        <f t="shared" si="3"/>
        <v>548</v>
      </c>
      <c r="T534" s="5" t="str">
        <f t="shared" si="4"/>
        <v>Normal</v>
      </c>
    </row>
    <row r="535">
      <c r="A535" s="2" t="s">
        <v>652</v>
      </c>
      <c r="B535" s="2">
        <v>287.0</v>
      </c>
      <c r="C535" s="2">
        <v>26.0</v>
      </c>
      <c r="D535" s="4">
        <v>46036.58472222222</v>
      </c>
      <c r="E535" s="2">
        <v>299.0</v>
      </c>
      <c r="F535" s="2" t="s">
        <v>14</v>
      </c>
      <c r="G535" s="2" t="s">
        <v>61</v>
      </c>
      <c r="H535" s="2">
        <v>72.0</v>
      </c>
      <c r="I535" s="5" t="str">
        <f>IFERROR(VLOOKUP($C535, merchants!$A$2:$D$41, 2, FALSE), "Merchant not found")</f>
        <v>Merchant_026</v>
      </c>
      <c r="J535" s="5" t="str">
        <f>IFERROR(VLOOKUP($C535, merchants!$A$2:$D$41, 3, FALSE), "Merchant not found")</f>
        <v>food_delivery</v>
      </c>
      <c r="K535" s="5" t="str">
        <f>IFERROR(VLOOKUP($C535, merchants!$A$2:$D$41, 4, FALSE), "Merchant not found")</f>
        <v>East</v>
      </c>
      <c r="Q535" s="5">
        <f t="shared" si="1"/>
        <v>1.5</v>
      </c>
      <c r="R535" s="6">
        <f t="shared" si="2"/>
        <v>46036</v>
      </c>
      <c r="S535" s="5">
        <f t="shared" si="3"/>
        <v>299</v>
      </c>
      <c r="T535" s="5" t="str">
        <f t="shared" si="4"/>
        <v>Normal</v>
      </c>
    </row>
    <row r="536">
      <c r="A536" s="2" t="s">
        <v>653</v>
      </c>
      <c r="B536" s="2">
        <v>287.0</v>
      </c>
      <c r="C536" s="2">
        <v>29.0</v>
      </c>
      <c r="D536" s="4">
        <v>46036.58541666667</v>
      </c>
      <c r="E536" s="2">
        <v>499.0</v>
      </c>
      <c r="F536" s="2" t="s">
        <v>14</v>
      </c>
      <c r="G536" s="2" t="s">
        <v>23</v>
      </c>
      <c r="H536" s="2">
        <v>87.0</v>
      </c>
      <c r="I536" s="5" t="str">
        <f>IFERROR(VLOOKUP($C536, merchants!$A$2:$D$41, 2, FALSE), "Merchant not found")</f>
        <v>Merchant_029</v>
      </c>
      <c r="J536" s="5" t="str">
        <f>IFERROR(VLOOKUP($C536, merchants!$A$2:$D$41, 3, FALSE), "Merchant not found")</f>
        <v>ecommerce</v>
      </c>
      <c r="K536" s="5" t="str">
        <f>IFERROR(VLOOKUP($C536, merchants!$A$2:$D$41, 4, FALSE), "Merchant not found")</f>
        <v>North</v>
      </c>
      <c r="Q536" s="5">
        <f t="shared" si="1"/>
        <v>1.5</v>
      </c>
      <c r="R536" s="6">
        <f t="shared" si="2"/>
        <v>46036</v>
      </c>
      <c r="S536" s="5">
        <f t="shared" si="3"/>
        <v>1998</v>
      </c>
      <c r="T536" s="5" t="str">
        <f t="shared" si="4"/>
        <v>Normal</v>
      </c>
    </row>
    <row r="537">
      <c r="A537" s="2" t="s">
        <v>654</v>
      </c>
      <c r="B537" s="2">
        <v>200.0</v>
      </c>
      <c r="C537" s="2">
        <v>14.0</v>
      </c>
      <c r="D537" s="4">
        <v>46023.916666666664</v>
      </c>
      <c r="E537" s="2">
        <v>299.0</v>
      </c>
      <c r="F537" s="2" t="s">
        <v>14</v>
      </c>
      <c r="G537" s="2" t="s">
        <v>61</v>
      </c>
      <c r="H537" s="2">
        <v>77.0</v>
      </c>
      <c r="I537" s="5" t="str">
        <f>IFERROR(VLOOKUP($C537, merchants!$A$2:$D$41, 2, FALSE), "Merchant not found")</f>
        <v>Merchant_014</v>
      </c>
      <c r="J537" s="5" t="str">
        <f>IFERROR(VLOOKUP($C537, merchants!$A$2:$D$41, 3, FALSE), "Merchant not found")</f>
        <v>grocery</v>
      </c>
      <c r="K537" s="5" t="str">
        <f>IFERROR(VLOOKUP($C537, merchants!$A$2:$D$41, 4, FALSE), "Merchant not found")</f>
        <v>East</v>
      </c>
      <c r="Q537" s="5">
        <f t="shared" si="1"/>
        <v>1.5</v>
      </c>
      <c r="R537" s="6">
        <f t="shared" si="2"/>
        <v>46023</v>
      </c>
      <c r="S537" s="5">
        <f t="shared" si="3"/>
        <v>299</v>
      </c>
      <c r="T537" s="5" t="str">
        <f t="shared" si="4"/>
        <v>Normal</v>
      </c>
    </row>
    <row r="538">
      <c r="A538" s="2" t="s">
        <v>655</v>
      </c>
      <c r="B538" s="2">
        <v>200.0</v>
      </c>
      <c r="C538" s="2">
        <v>5.0</v>
      </c>
      <c r="D538" s="4">
        <v>46023.91736111111</v>
      </c>
      <c r="E538" s="2">
        <v>499.0</v>
      </c>
      <c r="F538" s="2" t="s">
        <v>14</v>
      </c>
      <c r="G538" s="2" t="s">
        <v>61</v>
      </c>
      <c r="H538" s="2">
        <v>66.0</v>
      </c>
      <c r="I538" s="5" t="str">
        <f>IFERROR(VLOOKUP($C538, merchants!$A$2:$D$41, 2, FALSE), "Merchant not found")</f>
        <v>Merchant_005</v>
      </c>
      <c r="J538" s="5" t="str">
        <f>IFERROR(VLOOKUP($C538, merchants!$A$2:$D$41, 3, FALSE), "Merchant not found")</f>
        <v>recharge</v>
      </c>
      <c r="K538" s="5" t="str">
        <f>IFERROR(VLOOKUP($C538, merchants!$A$2:$D$41, 4, FALSE), "Merchant not found")</f>
        <v>South</v>
      </c>
      <c r="Q538" s="5">
        <f t="shared" si="1"/>
        <v>1.5</v>
      </c>
      <c r="R538" s="6">
        <f t="shared" si="2"/>
        <v>46023</v>
      </c>
      <c r="S538" s="5">
        <f t="shared" si="3"/>
        <v>499</v>
      </c>
      <c r="T538" s="5" t="str">
        <f t="shared" si="4"/>
        <v>Normal</v>
      </c>
    </row>
    <row r="539">
      <c r="A539" s="2" t="s">
        <v>656</v>
      </c>
      <c r="B539" s="2">
        <v>200.0</v>
      </c>
      <c r="C539" s="2">
        <v>35.0</v>
      </c>
      <c r="D539" s="4">
        <v>46023.91805555556</v>
      </c>
      <c r="E539" s="2">
        <v>299.0</v>
      </c>
      <c r="F539" s="2" t="s">
        <v>14</v>
      </c>
      <c r="G539" s="2" t="s">
        <v>61</v>
      </c>
      <c r="H539" s="2">
        <v>83.0</v>
      </c>
      <c r="I539" s="5" t="str">
        <f>IFERROR(VLOOKUP($C539, merchants!$A$2:$D$41, 2, FALSE), "Merchant not found")</f>
        <v>Merchant_035</v>
      </c>
      <c r="J539" s="5" t="str">
        <f>IFERROR(VLOOKUP($C539, merchants!$A$2:$D$41, 3, FALSE), "Merchant not found")</f>
        <v>recharge</v>
      </c>
      <c r="K539" s="5" t="str">
        <f>IFERROR(VLOOKUP($C539, merchants!$A$2:$D$41, 4, FALSE), "Merchant not found")</f>
        <v>East</v>
      </c>
      <c r="Q539" s="5">
        <f t="shared" si="1"/>
        <v>1.5</v>
      </c>
      <c r="R539" s="6">
        <f t="shared" si="2"/>
        <v>46023</v>
      </c>
      <c r="S539" s="5">
        <f t="shared" si="3"/>
        <v>798</v>
      </c>
      <c r="T539" s="5" t="str">
        <f t="shared" si="4"/>
        <v>Normal</v>
      </c>
    </row>
    <row r="540">
      <c r="A540" s="2" t="s">
        <v>657</v>
      </c>
      <c r="B540" s="2">
        <v>200.0</v>
      </c>
      <c r="C540" s="2">
        <v>21.0</v>
      </c>
      <c r="D540" s="4">
        <v>46023.91875</v>
      </c>
      <c r="E540" s="2">
        <v>299.0</v>
      </c>
      <c r="F540" s="2" t="s">
        <v>14</v>
      </c>
      <c r="G540" s="2" t="s">
        <v>23</v>
      </c>
      <c r="H540" s="2">
        <v>89.0</v>
      </c>
      <c r="I540" s="5" t="str">
        <f>IFERROR(VLOOKUP($C540, merchants!$A$2:$D$41, 2, FALSE), "Merchant not found")</f>
        <v>Merchant_021</v>
      </c>
      <c r="J540" s="5" t="str">
        <f>IFERROR(VLOOKUP($C540, merchants!$A$2:$D$41, 3, FALSE), "Merchant not found")</f>
        <v>food_delivery</v>
      </c>
      <c r="K540" s="5" t="str">
        <f>IFERROR(VLOOKUP($C540, merchants!$A$2:$D$41, 4, FALSE), "Merchant not found")</f>
        <v>East</v>
      </c>
      <c r="Q540" s="5">
        <f t="shared" si="1"/>
        <v>1.5</v>
      </c>
      <c r="R540" s="6">
        <f t="shared" si="2"/>
        <v>46023</v>
      </c>
      <c r="S540" s="5">
        <f t="shared" si="3"/>
        <v>5298</v>
      </c>
      <c r="T540" s="5" t="str">
        <f t="shared" si="4"/>
        <v>Normal</v>
      </c>
    </row>
    <row r="541">
      <c r="A541" s="2" t="s">
        <v>658</v>
      </c>
      <c r="B541" s="2">
        <v>59.0</v>
      </c>
      <c r="C541" s="2">
        <v>32.0</v>
      </c>
      <c r="D541" s="4">
        <v>46031.875</v>
      </c>
      <c r="E541" s="2">
        <v>499.0</v>
      </c>
      <c r="F541" s="2" t="s">
        <v>14</v>
      </c>
      <c r="G541" s="2" t="s">
        <v>61</v>
      </c>
      <c r="H541" s="2">
        <v>80.0</v>
      </c>
      <c r="I541" s="5" t="str">
        <f>IFERROR(VLOOKUP($C541, merchants!$A$2:$D$41, 2, FALSE), "Merchant not found")</f>
        <v>Merchant_032</v>
      </c>
      <c r="J541" s="5" t="str">
        <f>IFERROR(VLOOKUP($C541, merchants!$A$2:$D$41, 3, FALSE), "Merchant not found")</f>
        <v>food_delivery</v>
      </c>
      <c r="K541" s="5" t="str">
        <f>IFERROR(VLOOKUP($C541, merchants!$A$2:$D$41, 4, FALSE), "Merchant not found")</f>
        <v>West</v>
      </c>
      <c r="Q541" s="5">
        <f t="shared" si="1"/>
        <v>1.5</v>
      </c>
      <c r="R541" s="6">
        <f t="shared" si="2"/>
        <v>46031</v>
      </c>
      <c r="S541" s="5">
        <f t="shared" si="3"/>
        <v>499</v>
      </c>
      <c r="T541" s="5" t="str">
        <f t="shared" si="4"/>
        <v>Normal</v>
      </c>
    </row>
    <row r="542">
      <c r="A542" s="2" t="s">
        <v>659</v>
      </c>
      <c r="B542" s="2">
        <v>59.0</v>
      </c>
      <c r="C542" s="2">
        <v>39.0</v>
      </c>
      <c r="D542" s="4">
        <v>46031.87569444445</v>
      </c>
      <c r="E542" s="2">
        <v>399.0</v>
      </c>
      <c r="F542" s="2" t="s">
        <v>14</v>
      </c>
      <c r="G542" s="2" t="s">
        <v>61</v>
      </c>
      <c r="H542" s="2">
        <v>85.0</v>
      </c>
      <c r="I542" s="5" t="str">
        <f>IFERROR(VLOOKUP($C542, merchants!$A$2:$D$41, 2, FALSE), "Merchant not found")</f>
        <v>Merchant_039</v>
      </c>
      <c r="J542" s="5" t="str">
        <f>IFERROR(VLOOKUP($C542, merchants!$A$2:$D$41, 3, FALSE), "Merchant not found")</f>
        <v>entertainment</v>
      </c>
      <c r="K542" s="5" t="str">
        <f>IFERROR(VLOOKUP($C542, merchants!$A$2:$D$41, 4, FALSE), "Merchant not found")</f>
        <v>North</v>
      </c>
      <c r="Q542" s="5">
        <f t="shared" si="1"/>
        <v>1.5</v>
      </c>
      <c r="R542" s="6">
        <f t="shared" si="2"/>
        <v>46031</v>
      </c>
      <c r="S542" s="5">
        <f t="shared" si="3"/>
        <v>399</v>
      </c>
      <c r="T542" s="5" t="str">
        <f t="shared" si="4"/>
        <v>Normal</v>
      </c>
    </row>
    <row r="543">
      <c r="A543" s="2" t="s">
        <v>660</v>
      </c>
      <c r="B543" s="2">
        <v>59.0</v>
      </c>
      <c r="C543" s="2">
        <v>38.0</v>
      </c>
      <c r="D543" s="4">
        <v>46031.876388888886</v>
      </c>
      <c r="E543" s="2">
        <v>299.0</v>
      </c>
      <c r="F543" s="2" t="s">
        <v>14</v>
      </c>
      <c r="G543" s="2" t="s">
        <v>61</v>
      </c>
      <c r="H543" s="2">
        <v>82.0</v>
      </c>
      <c r="I543" s="5" t="str">
        <f>IFERROR(VLOOKUP($C543, merchants!$A$2:$D$41, 2, FALSE), "Merchant not found")</f>
        <v>Merchant_038</v>
      </c>
      <c r="J543" s="5" t="str">
        <f>IFERROR(VLOOKUP($C543, merchants!$A$2:$D$41, 3, FALSE), "Merchant not found")</f>
        <v>grocery</v>
      </c>
      <c r="K543" s="5" t="str">
        <f>IFERROR(VLOOKUP($C543, merchants!$A$2:$D$41, 4, FALSE), "Merchant not found")</f>
        <v>East</v>
      </c>
      <c r="Q543" s="5">
        <f t="shared" si="1"/>
        <v>1.5</v>
      </c>
      <c r="R543" s="6">
        <f t="shared" si="2"/>
        <v>46031</v>
      </c>
      <c r="S543" s="5">
        <f t="shared" si="3"/>
        <v>348</v>
      </c>
      <c r="T543" s="5" t="str">
        <f t="shared" si="4"/>
        <v>Normal</v>
      </c>
    </row>
    <row r="544">
      <c r="A544" s="2" t="s">
        <v>661</v>
      </c>
      <c r="B544" s="2">
        <v>59.0</v>
      </c>
      <c r="C544" s="2">
        <v>23.0</v>
      </c>
      <c r="D544" s="4">
        <v>46031.87708333333</v>
      </c>
      <c r="E544" s="2">
        <v>399.0</v>
      </c>
      <c r="F544" s="2" t="s">
        <v>14</v>
      </c>
      <c r="G544" s="2" t="s">
        <v>23</v>
      </c>
      <c r="H544" s="2">
        <v>71.0</v>
      </c>
      <c r="I544" s="5" t="str">
        <f>IFERROR(VLOOKUP($C544, merchants!$A$2:$D$41, 2, FALSE), "Merchant not found")</f>
        <v>Merchant_023</v>
      </c>
      <c r="J544" s="5" t="str">
        <f>IFERROR(VLOOKUP($C544, merchants!$A$2:$D$41, 3, FALSE), "Merchant not found")</f>
        <v>travel</v>
      </c>
      <c r="K544" s="5" t="str">
        <f>IFERROR(VLOOKUP($C544, merchants!$A$2:$D$41, 4, FALSE), "Merchant not found")</f>
        <v>North</v>
      </c>
      <c r="Q544" s="5">
        <f t="shared" si="1"/>
        <v>1.5</v>
      </c>
      <c r="R544" s="6">
        <f t="shared" si="2"/>
        <v>46031</v>
      </c>
      <c r="S544" s="5">
        <f t="shared" si="3"/>
        <v>399</v>
      </c>
      <c r="T544" s="5" t="str">
        <f t="shared" si="4"/>
        <v>Normal</v>
      </c>
    </row>
    <row r="545">
      <c r="A545" s="2" t="s">
        <v>662</v>
      </c>
      <c r="B545" s="2">
        <v>345.0</v>
      </c>
      <c r="C545" s="2">
        <v>40.0</v>
      </c>
      <c r="D545" s="4">
        <v>46045.375</v>
      </c>
      <c r="E545" s="2">
        <v>499.0</v>
      </c>
      <c r="F545" s="2" t="s">
        <v>14</v>
      </c>
      <c r="G545" s="2" t="s">
        <v>61</v>
      </c>
      <c r="H545" s="2">
        <v>65.0</v>
      </c>
      <c r="I545" s="5" t="str">
        <f>IFERROR(VLOOKUP($C545, merchants!$A$2:$D$41, 2, FALSE), "Merchant not found")</f>
        <v>Merchant_040</v>
      </c>
      <c r="J545" s="5" t="str">
        <f>IFERROR(VLOOKUP($C545, merchants!$A$2:$D$41, 3, FALSE), "Merchant not found")</f>
        <v>entertainment</v>
      </c>
      <c r="K545" s="5" t="str">
        <f>IFERROR(VLOOKUP($C545, merchants!$A$2:$D$41, 4, FALSE), "Merchant not found")</f>
        <v>South</v>
      </c>
      <c r="Q545" s="5">
        <f t="shared" si="1"/>
        <v>1.5</v>
      </c>
      <c r="R545" s="6">
        <f t="shared" si="2"/>
        <v>46045</v>
      </c>
      <c r="S545" s="5">
        <f t="shared" si="3"/>
        <v>598</v>
      </c>
      <c r="T545" s="5" t="str">
        <f t="shared" si="4"/>
        <v>Normal</v>
      </c>
    </row>
    <row r="546">
      <c r="A546" s="2" t="s">
        <v>663</v>
      </c>
      <c r="B546" s="2">
        <v>345.0</v>
      </c>
      <c r="C546" s="2">
        <v>9.0</v>
      </c>
      <c r="D546" s="4">
        <v>46045.37569444445</v>
      </c>
      <c r="E546" s="2">
        <v>399.0</v>
      </c>
      <c r="F546" s="2" t="s">
        <v>14</v>
      </c>
      <c r="G546" s="2" t="s">
        <v>61</v>
      </c>
      <c r="H546" s="2">
        <v>67.0</v>
      </c>
      <c r="I546" s="5" t="str">
        <f>IFERROR(VLOOKUP($C546, merchants!$A$2:$D$41, 2, FALSE), "Merchant not found")</f>
        <v>Merchant_009</v>
      </c>
      <c r="J546" s="5" t="str">
        <f>IFERROR(VLOOKUP($C546, merchants!$A$2:$D$41, 3, FALSE), "Merchant not found")</f>
        <v>ecommerce</v>
      </c>
      <c r="K546" s="5" t="str">
        <f>IFERROR(VLOOKUP($C546, merchants!$A$2:$D$41, 4, FALSE), "Merchant not found")</f>
        <v>North</v>
      </c>
      <c r="Q546" s="5">
        <f t="shared" si="1"/>
        <v>1.5</v>
      </c>
      <c r="R546" s="6">
        <f t="shared" si="2"/>
        <v>46045</v>
      </c>
      <c r="S546" s="5">
        <f t="shared" si="3"/>
        <v>898</v>
      </c>
      <c r="T546" s="5" t="str">
        <f t="shared" si="4"/>
        <v>Normal</v>
      </c>
    </row>
    <row r="547">
      <c r="A547" s="2" t="s">
        <v>664</v>
      </c>
      <c r="B547" s="2">
        <v>345.0</v>
      </c>
      <c r="C547" s="2">
        <v>16.0</v>
      </c>
      <c r="D547" s="4">
        <v>46045.376388888886</v>
      </c>
      <c r="E547" s="2">
        <v>399.0</v>
      </c>
      <c r="F547" s="2" t="s">
        <v>14</v>
      </c>
      <c r="G547" s="2" t="s">
        <v>61</v>
      </c>
      <c r="H547" s="2">
        <v>67.0</v>
      </c>
      <c r="I547" s="5" t="str">
        <f>IFERROR(VLOOKUP($C547, merchants!$A$2:$D$41, 2, FALSE), "Merchant not found")</f>
        <v>Merchant_016</v>
      </c>
      <c r="J547" s="5" t="str">
        <f>IFERROR(VLOOKUP($C547, merchants!$A$2:$D$41, 3, FALSE), "Merchant not found")</f>
        <v>bill_payment</v>
      </c>
      <c r="K547" s="5" t="str">
        <f>IFERROR(VLOOKUP($C547, merchants!$A$2:$D$41, 4, FALSE), "Merchant not found")</f>
        <v>West</v>
      </c>
      <c r="Q547" s="5">
        <f t="shared" si="1"/>
        <v>1.5</v>
      </c>
      <c r="R547" s="6">
        <f t="shared" si="2"/>
        <v>46045</v>
      </c>
      <c r="S547" s="5">
        <f t="shared" si="3"/>
        <v>399</v>
      </c>
      <c r="T547" s="5" t="str">
        <f t="shared" si="4"/>
        <v>Normal</v>
      </c>
    </row>
    <row r="548">
      <c r="A548" s="2" t="s">
        <v>665</v>
      </c>
      <c r="B548" s="2">
        <v>345.0</v>
      </c>
      <c r="C548" s="2">
        <v>12.0</v>
      </c>
      <c r="D548" s="4">
        <v>46045.37708333333</v>
      </c>
      <c r="E548" s="2">
        <v>399.0</v>
      </c>
      <c r="F548" s="2" t="s">
        <v>14</v>
      </c>
      <c r="G548" s="2" t="s">
        <v>23</v>
      </c>
      <c r="H548" s="2">
        <v>69.0</v>
      </c>
      <c r="I548" s="5" t="str">
        <f>IFERROR(VLOOKUP($C548, merchants!$A$2:$D$41, 2, FALSE), "Merchant not found")</f>
        <v>Merchant_012</v>
      </c>
      <c r="J548" s="5" t="str">
        <f>IFERROR(VLOOKUP($C548, merchants!$A$2:$D$41, 3, FALSE), "Merchant not found")</f>
        <v>ecommerce</v>
      </c>
      <c r="K548" s="5" t="str">
        <f>IFERROR(VLOOKUP($C548, merchants!$A$2:$D$41, 4, FALSE), "Merchant not found")</f>
        <v>East</v>
      </c>
      <c r="Q548" s="5">
        <f t="shared" si="1"/>
        <v>1.5</v>
      </c>
      <c r="R548" s="6">
        <f t="shared" si="2"/>
        <v>46045</v>
      </c>
      <c r="S548" s="5">
        <f t="shared" si="3"/>
        <v>448</v>
      </c>
      <c r="T548" s="5" t="str">
        <f t="shared" si="4"/>
        <v>Normal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38"/>
    <col customWidth="1" min="4" max="4" width="20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 t="s">
        <v>9</v>
      </c>
      <c r="D1" s="2" t="s">
        <v>10</v>
      </c>
    </row>
    <row r="2">
      <c r="A2" s="2">
        <v>1.0</v>
      </c>
      <c r="B2" s="2" t="s">
        <v>24</v>
      </c>
      <c r="C2" s="2" t="s">
        <v>25</v>
      </c>
      <c r="D2" s="2" t="s">
        <v>26</v>
      </c>
    </row>
    <row r="3">
      <c r="A3" s="2">
        <v>2.0</v>
      </c>
      <c r="B3" s="2" t="s">
        <v>27</v>
      </c>
      <c r="C3" s="2" t="s">
        <v>28</v>
      </c>
      <c r="D3" s="2" t="s">
        <v>29</v>
      </c>
    </row>
    <row r="4">
      <c r="A4" s="2">
        <v>3.0</v>
      </c>
      <c r="B4" s="2" t="s">
        <v>30</v>
      </c>
      <c r="C4" s="2" t="s">
        <v>28</v>
      </c>
      <c r="D4" s="2" t="s">
        <v>31</v>
      </c>
    </row>
    <row r="5">
      <c r="A5" s="2">
        <v>4.0</v>
      </c>
      <c r="B5" s="2" t="s">
        <v>32</v>
      </c>
      <c r="C5" s="2" t="s">
        <v>25</v>
      </c>
      <c r="D5" s="2" t="s">
        <v>31</v>
      </c>
    </row>
    <row r="6">
      <c r="A6" s="2">
        <v>5.0</v>
      </c>
      <c r="B6" s="2" t="s">
        <v>33</v>
      </c>
      <c r="C6" s="2" t="s">
        <v>34</v>
      </c>
      <c r="D6" s="2" t="s">
        <v>26</v>
      </c>
    </row>
    <row r="7">
      <c r="A7" s="2">
        <v>6.0</v>
      </c>
      <c r="B7" s="2" t="s">
        <v>35</v>
      </c>
      <c r="C7" s="2" t="s">
        <v>36</v>
      </c>
      <c r="D7" s="2" t="s">
        <v>26</v>
      </c>
    </row>
    <row r="8">
      <c r="A8" s="2">
        <v>7.0</v>
      </c>
      <c r="B8" s="2" t="s">
        <v>37</v>
      </c>
      <c r="C8" s="2" t="s">
        <v>36</v>
      </c>
      <c r="D8" s="2" t="s">
        <v>31</v>
      </c>
    </row>
    <row r="9">
      <c r="A9" s="2">
        <v>8.0</v>
      </c>
      <c r="B9" s="2" t="s">
        <v>38</v>
      </c>
      <c r="C9" s="2" t="s">
        <v>36</v>
      </c>
      <c r="D9" s="2" t="s">
        <v>39</v>
      </c>
    </row>
    <row r="10">
      <c r="A10" s="2">
        <v>9.0</v>
      </c>
      <c r="B10" s="2" t="s">
        <v>40</v>
      </c>
      <c r="C10" s="2" t="s">
        <v>25</v>
      </c>
      <c r="D10" s="2" t="s">
        <v>39</v>
      </c>
    </row>
    <row r="11">
      <c r="A11" s="2">
        <v>10.0</v>
      </c>
      <c r="B11" s="2" t="s">
        <v>41</v>
      </c>
      <c r="C11" s="2" t="s">
        <v>28</v>
      </c>
      <c r="D11" s="2" t="s">
        <v>29</v>
      </c>
    </row>
    <row r="12">
      <c r="A12" s="2">
        <v>11.0</v>
      </c>
      <c r="B12" s="2" t="s">
        <v>42</v>
      </c>
      <c r="C12" s="2" t="s">
        <v>25</v>
      </c>
      <c r="D12" s="2" t="s">
        <v>39</v>
      </c>
    </row>
    <row r="13">
      <c r="A13" s="2">
        <v>12.0</v>
      </c>
      <c r="B13" s="2" t="s">
        <v>43</v>
      </c>
      <c r="C13" s="2" t="s">
        <v>25</v>
      </c>
      <c r="D13" s="2" t="s">
        <v>31</v>
      </c>
    </row>
    <row r="14">
      <c r="A14" s="2">
        <v>13.0</v>
      </c>
      <c r="B14" s="2" t="s">
        <v>44</v>
      </c>
      <c r="C14" s="2" t="s">
        <v>45</v>
      </c>
      <c r="D14" s="2" t="s">
        <v>31</v>
      </c>
    </row>
    <row r="15">
      <c r="A15" s="2">
        <v>14.0</v>
      </c>
      <c r="B15" s="2" t="s">
        <v>46</v>
      </c>
      <c r="C15" s="2" t="s">
        <v>28</v>
      </c>
      <c r="D15" s="2" t="s">
        <v>31</v>
      </c>
    </row>
    <row r="16">
      <c r="A16" s="2">
        <v>15.0</v>
      </c>
      <c r="B16" s="2" t="s">
        <v>47</v>
      </c>
      <c r="C16" s="2" t="s">
        <v>45</v>
      </c>
      <c r="D16" s="2" t="s">
        <v>39</v>
      </c>
    </row>
    <row r="17">
      <c r="A17" s="2">
        <v>16.0</v>
      </c>
      <c r="B17" s="2" t="s">
        <v>48</v>
      </c>
      <c r="C17" s="2" t="s">
        <v>49</v>
      </c>
      <c r="D17" s="2" t="s">
        <v>29</v>
      </c>
    </row>
    <row r="18">
      <c r="A18" s="2">
        <v>17.0</v>
      </c>
      <c r="B18" s="2" t="s">
        <v>50</v>
      </c>
      <c r="C18" s="2" t="s">
        <v>28</v>
      </c>
      <c r="D18" s="2" t="s">
        <v>39</v>
      </c>
    </row>
    <row r="19">
      <c r="A19" s="2">
        <v>18.0</v>
      </c>
      <c r="B19" s="2" t="s">
        <v>51</v>
      </c>
      <c r="C19" s="2" t="s">
        <v>28</v>
      </c>
      <c r="D19" s="2" t="s">
        <v>29</v>
      </c>
    </row>
    <row r="20">
      <c r="A20" s="2">
        <v>19.0</v>
      </c>
      <c r="B20" s="2" t="s">
        <v>52</v>
      </c>
      <c r="C20" s="2" t="s">
        <v>28</v>
      </c>
      <c r="D20" s="2" t="s">
        <v>39</v>
      </c>
    </row>
    <row r="21">
      <c r="A21" s="2">
        <v>20.0</v>
      </c>
      <c r="B21" s="2" t="s">
        <v>53</v>
      </c>
      <c r="C21" s="2" t="s">
        <v>36</v>
      </c>
      <c r="D21" s="2" t="s">
        <v>31</v>
      </c>
    </row>
    <row r="22">
      <c r="A22" s="2">
        <v>21.0</v>
      </c>
      <c r="B22" s="2" t="s">
        <v>54</v>
      </c>
      <c r="C22" s="2" t="s">
        <v>36</v>
      </c>
      <c r="D22" s="2" t="s">
        <v>31</v>
      </c>
    </row>
    <row r="23">
      <c r="A23" s="2">
        <v>22.0</v>
      </c>
      <c r="B23" s="2" t="s">
        <v>55</v>
      </c>
      <c r="C23" s="2" t="s">
        <v>45</v>
      </c>
      <c r="D23" s="2" t="s">
        <v>26</v>
      </c>
    </row>
    <row r="24">
      <c r="A24" s="2">
        <v>23.0</v>
      </c>
      <c r="B24" s="2" t="s">
        <v>57</v>
      </c>
      <c r="C24" s="2" t="s">
        <v>45</v>
      </c>
      <c r="D24" s="2" t="s">
        <v>39</v>
      </c>
    </row>
    <row r="25">
      <c r="A25" s="2">
        <v>24.0</v>
      </c>
      <c r="B25" s="2" t="s">
        <v>59</v>
      </c>
      <c r="C25" s="2" t="s">
        <v>28</v>
      </c>
      <c r="D25" s="2" t="s">
        <v>39</v>
      </c>
    </row>
    <row r="26">
      <c r="A26" s="2">
        <v>25.0</v>
      </c>
      <c r="B26" s="2" t="s">
        <v>60</v>
      </c>
      <c r="C26" s="2" t="s">
        <v>45</v>
      </c>
      <c r="D26" s="2" t="s">
        <v>26</v>
      </c>
    </row>
    <row r="27">
      <c r="A27" s="2">
        <v>26.0</v>
      </c>
      <c r="B27" s="2" t="s">
        <v>62</v>
      </c>
      <c r="C27" s="2" t="s">
        <v>36</v>
      </c>
      <c r="D27" s="2" t="s">
        <v>31</v>
      </c>
    </row>
    <row r="28">
      <c r="A28" s="2">
        <v>27.0</v>
      </c>
      <c r="B28" s="2" t="s">
        <v>64</v>
      </c>
      <c r="C28" s="2" t="s">
        <v>25</v>
      </c>
      <c r="D28" s="2" t="s">
        <v>39</v>
      </c>
    </row>
    <row r="29">
      <c r="A29" s="2">
        <v>28.0</v>
      </c>
      <c r="B29" s="2" t="s">
        <v>65</v>
      </c>
      <c r="C29" s="2" t="s">
        <v>25</v>
      </c>
      <c r="D29" s="2" t="s">
        <v>26</v>
      </c>
    </row>
    <row r="30">
      <c r="A30" s="2">
        <v>29.0</v>
      </c>
      <c r="B30" s="2" t="s">
        <v>67</v>
      </c>
      <c r="C30" s="2" t="s">
        <v>25</v>
      </c>
      <c r="D30" s="2" t="s">
        <v>39</v>
      </c>
    </row>
    <row r="31">
      <c r="A31" s="2">
        <v>30.0</v>
      </c>
      <c r="B31" s="2" t="s">
        <v>68</v>
      </c>
      <c r="C31" s="2" t="s">
        <v>45</v>
      </c>
      <c r="D31" s="2" t="s">
        <v>29</v>
      </c>
    </row>
    <row r="32">
      <c r="A32" s="2">
        <v>31.0</v>
      </c>
      <c r="B32" s="2" t="s">
        <v>70</v>
      </c>
      <c r="C32" s="2" t="s">
        <v>49</v>
      </c>
      <c r="D32" s="2" t="s">
        <v>31</v>
      </c>
    </row>
    <row r="33">
      <c r="A33" s="2">
        <v>32.0</v>
      </c>
      <c r="B33" s="2" t="s">
        <v>72</v>
      </c>
      <c r="C33" s="2" t="s">
        <v>36</v>
      </c>
      <c r="D33" s="2" t="s">
        <v>29</v>
      </c>
    </row>
    <row r="34">
      <c r="A34" s="2">
        <v>33.0</v>
      </c>
      <c r="B34" s="2" t="s">
        <v>73</v>
      </c>
      <c r="C34" s="2" t="s">
        <v>49</v>
      </c>
      <c r="D34" s="2" t="s">
        <v>31</v>
      </c>
    </row>
    <row r="35">
      <c r="A35" s="2">
        <v>34.0</v>
      </c>
      <c r="B35" s="2" t="s">
        <v>74</v>
      </c>
      <c r="C35" s="2" t="s">
        <v>45</v>
      </c>
      <c r="D35" s="2" t="s">
        <v>26</v>
      </c>
    </row>
    <row r="36">
      <c r="A36" s="2">
        <v>35.0</v>
      </c>
      <c r="B36" s="2" t="s">
        <v>76</v>
      </c>
      <c r="C36" s="2" t="s">
        <v>34</v>
      </c>
      <c r="D36" s="2" t="s">
        <v>31</v>
      </c>
    </row>
    <row r="37">
      <c r="A37" s="2">
        <v>36.0</v>
      </c>
      <c r="B37" s="2" t="s">
        <v>77</v>
      </c>
      <c r="C37" s="2" t="s">
        <v>78</v>
      </c>
      <c r="D37" s="2" t="s">
        <v>31</v>
      </c>
    </row>
    <row r="38">
      <c r="A38" s="2">
        <v>37.0</v>
      </c>
      <c r="B38" s="2" t="s">
        <v>79</v>
      </c>
      <c r="C38" s="2" t="s">
        <v>78</v>
      </c>
      <c r="D38" s="2" t="s">
        <v>26</v>
      </c>
    </row>
    <row r="39">
      <c r="A39" s="2">
        <v>38.0</v>
      </c>
      <c r="B39" s="2" t="s">
        <v>81</v>
      </c>
      <c r="C39" s="2" t="s">
        <v>28</v>
      </c>
      <c r="D39" s="2" t="s">
        <v>31</v>
      </c>
    </row>
    <row r="40">
      <c r="A40" s="2">
        <v>39.0</v>
      </c>
      <c r="B40" s="2" t="s">
        <v>82</v>
      </c>
      <c r="C40" s="2" t="s">
        <v>78</v>
      </c>
      <c r="D40" s="2" t="s">
        <v>39</v>
      </c>
    </row>
    <row r="41">
      <c r="A41" s="2">
        <v>40.0</v>
      </c>
      <c r="B41" s="2" t="s">
        <v>83</v>
      </c>
      <c r="C41" s="2" t="s">
        <v>78</v>
      </c>
      <c r="D41" s="2" t="s">
        <v>26</v>
      </c>
    </row>
  </sheetData>
  <drawing r:id="rId1"/>
</worksheet>
</file>